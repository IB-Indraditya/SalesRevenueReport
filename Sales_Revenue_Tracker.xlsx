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ndraditya\Downloads\"/>
    </mc:Choice>
  </mc:AlternateContent>
  <xr:revisionPtr revIDLastSave="0" documentId="13_ncr:1_{E153E5E6-609E-489F-B736-D6F2A93A0565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Dashboard" sheetId="1" r:id="rId1"/>
    <sheet name="ReadMe" sheetId="2" r:id="rId2"/>
    <sheet name="Sales_Data" sheetId="3" r:id="rId3"/>
    <sheet name="Monthly_Summary" sheetId="4" r:id="rId4"/>
    <sheet name="Regional_Summary" sheetId="5" r:id="rId5"/>
    <sheet name="Category_Summary" sheetId="6" r:id="rId6"/>
    <sheet name="Rep_Performance" sheetId="7" r:id="rId7"/>
    <sheet name="Targets_vs_Actual" sheetId="8" r:id="rId8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8" l="1"/>
  <c r="E12" i="7"/>
  <c r="E11" i="7"/>
  <c r="E10" i="7"/>
  <c r="E9" i="7"/>
  <c r="E8" i="7"/>
  <c r="E7" i="7"/>
  <c r="E6" i="7"/>
  <c r="E5" i="7"/>
  <c r="F9" i="6"/>
  <c r="E9" i="6"/>
  <c r="F8" i="6"/>
  <c r="E8" i="6"/>
  <c r="F7" i="6"/>
  <c r="E7" i="6"/>
  <c r="F6" i="6"/>
  <c r="E6" i="6"/>
  <c r="F5" i="6"/>
  <c r="E5" i="6"/>
  <c r="E8" i="5"/>
  <c r="E7" i="5"/>
  <c r="E6" i="5"/>
  <c r="E5" i="5"/>
  <c r="N221" i="3"/>
  <c r="O221" i="3" s="1"/>
  <c r="M221" i="3"/>
  <c r="L221" i="3"/>
  <c r="C221" i="3"/>
  <c r="M220" i="3"/>
  <c r="L220" i="3"/>
  <c r="N220" i="3" s="1"/>
  <c r="O220" i="3" s="1"/>
  <c r="C220" i="3"/>
  <c r="M219" i="3"/>
  <c r="L219" i="3"/>
  <c r="N219" i="3" s="1"/>
  <c r="O219" i="3" s="1"/>
  <c r="C219" i="3"/>
  <c r="M218" i="3"/>
  <c r="N218" i="3" s="1"/>
  <c r="O218" i="3" s="1"/>
  <c r="L218" i="3"/>
  <c r="C218" i="3"/>
  <c r="M217" i="3"/>
  <c r="L217" i="3"/>
  <c r="N217" i="3" s="1"/>
  <c r="O217" i="3" s="1"/>
  <c r="C217" i="3"/>
  <c r="M216" i="3"/>
  <c r="L216" i="3"/>
  <c r="N216" i="3" s="1"/>
  <c r="O216" i="3" s="1"/>
  <c r="C216" i="3"/>
  <c r="M215" i="3"/>
  <c r="L215" i="3"/>
  <c r="N215" i="3" s="1"/>
  <c r="O215" i="3" s="1"/>
  <c r="C215" i="3"/>
  <c r="M214" i="3"/>
  <c r="N214" i="3" s="1"/>
  <c r="O214" i="3" s="1"/>
  <c r="L214" i="3"/>
  <c r="C214" i="3"/>
  <c r="M213" i="3"/>
  <c r="L213" i="3"/>
  <c r="N213" i="3" s="1"/>
  <c r="O213" i="3" s="1"/>
  <c r="C213" i="3"/>
  <c r="M212" i="3"/>
  <c r="L212" i="3"/>
  <c r="N212" i="3" s="1"/>
  <c r="O212" i="3" s="1"/>
  <c r="C212" i="3"/>
  <c r="M211" i="3"/>
  <c r="L211" i="3"/>
  <c r="N211" i="3" s="1"/>
  <c r="O211" i="3" s="1"/>
  <c r="C211" i="3"/>
  <c r="M210" i="3"/>
  <c r="N210" i="3" s="1"/>
  <c r="O210" i="3" s="1"/>
  <c r="L210" i="3"/>
  <c r="C210" i="3"/>
  <c r="M209" i="3"/>
  <c r="L209" i="3"/>
  <c r="N209" i="3" s="1"/>
  <c r="O209" i="3" s="1"/>
  <c r="C209" i="3"/>
  <c r="M208" i="3"/>
  <c r="L208" i="3"/>
  <c r="N208" i="3" s="1"/>
  <c r="O208" i="3" s="1"/>
  <c r="C208" i="3"/>
  <c r="M207" i="3"/>
  <c r="L207" i="3"/>
  <c r="N207" i="3" s="1"/>
  <c r="O207" i="3" s="1"/>
  <c r="C207" i="3"/>
  <c r="M206" i="3"/>
  <c r="N206" i="3" s="1"/>
  <c r="O206" i="3" s="1"/>
  <c r="L206" i="3"/>
  <c r="C206" i="3"/>
  <c r="M205" i="3"/>
  <c r="L205" i="3"/>
  <c r="N205" i="3" s="1"/>
  <c r="O205" i="3" s="1"/>
  <c r="C205" i="3"/>
  <c r="M204" i="3"/>
  <c r="L204" i="3"/>
  <c r="N204" i="3" s="1"/>
  <c r="O204" i="3" s="1"/>
  <c r="C204" i="3"/>
  <c r="M203" i="3"/>
  <c r="L203" i="3"/>
  <c r="N203" i="3" s="1"/>
  <c r="O203" i="3" s="1"/>
  <c r="C203" i="3"/>
  <c r="M202" i="3"/>
  <c r="N202" i="3" s="1"/>
  <c r="O202" i="3" s="1"/>
  <c r="L202" i="3"/>
  <c r="C202" i="3"/>
  <c r="M201" i="3"/>
  <c r="L201" i="3"/>
  <c r="N201" i="3" s="1"/>
  <c r="O201" i="3" s="1"/>
  <c r="C201" i="3"/>
  <c r="M200" i="3"/>
  <c r="L200" i="3"/>
  <c r="N200" i="3" s="1"/>
  <c r="O200" i="3" s="1"/>
  <c r="C200" i="3"/>
  <c r="M199" i="3"/>
  <c r="L199" i="3"/>
  <c r="N199" i="3" s="1"/>
  <c r="O199" i="3" s="1"/>
  <c r="C199" i="3"/>
  <c r="M198" i="3"/>
  <c r="N198" i="3" s="1"/>
  <c r="O198" i="3" s="1"/>
  <c r="L198" i="3"/>
  <c r="C198" i="3"/>
  <c r="M197" i="3"/>
  <c r="L197" i="3"/>
  <c r="N197" i="3" s="1"/>
  <c r="O197" i="3" s="1"/>
  <c r="C197" i="3"/>
  <c r="M196" i="3"/>
  <c r="L196" i="3"/>
  <c r="N196" i="3" s="1"/>
  <c r="O196" i="3" s="1"/>
  <c r="C196" i="3"/>
  <c r="M195" i="3"/>
  <c r="L195" i="3"/>
  <c r="N195" i="3" s="1"/>
  <c r="O195" i="3" s="1"/>
  <c r="C195" i="3"/>
  <c r="M194" i="3"/>
  <c r="N194" i="3" s="1"/>
  <c r="O194" i="3" s="1"/>
  <c r="L194" i="3"/>
  <c r="C194" i="3"/>
  <c r="M193" i="3"/>
  <c r="L193" i="3"/>
  <c r="N193" i="3" s="1"/>
  <c r="O193" i="3" s="1"/>
  <c r="C193" i="3"/>
  <c r="M192" i="3"/>
  <c r="L192" i="3"/>
  <c r="N192" i="3" s="1"/>
  <c r="O192" i="3" s="1"/>
  <c r="C192" i="3"/>
  <c r="M191" i="3"/>
  <c r="L191" i="3"/>
  <c r="N191" i="3" s="1"/>
  <c r="O191" i="3" s="1"/>
  <c r="C191" i="3"/>
  <c r="M190" i="3"/>
  <c r="N190" i="3" s="1"/>
  <c r="O190" i="3" s="1"/>
  <c r="L190" i="3"/>
  <c r="C190" i="3"/>
  <c r="M189" i="3"/>
  <c r="L189" i="3"/>
  <c r="N189" i="3" s="1"/>
  <c r="O189" i="3" s="1"/>
  <c r="C189" i="3"/>
  <c r="M188" i="3"/>
  <c r="L188" i="3"/>
  <c r="C188" i="3"/>
  <c r="M187" i="3"/>
  <c r="L187" i="3"/>
  <c r="N187" i="3" s="1"/>
  <c r="O187" i="3" s="1"/>
  <c r="C187" i="3"/>
  <c r="M186" i="3"/>
  <c r="N186" i="3" s="1"/>
  <c r="O186" i="3" s="1"/>
  <c r="L186" i="3"/>
  <c r="C186" i="3"/>
  <c r="M185" i="3"/>
  <c r="L185" i="3"/>
  <c r="N185" i="3" s="1"/>
  <c r="O185" i="3" s="1"/>
  <c r="C185" i="3"/>
  <c r="M184" i="3"/>
  <c r="L184" i="3"/>
  <c r="N184" i="3" s="1"/>
  <c r="O184" i="3" s="1"/>
  <c r="C184" i="3"/>
  <c r="M183" i="3"/>
  <c r="L183" i="3"/>
  <c r="N183" i="3" s="1"/>
  <c r="O183" i="3" s="1"/>
  <c r="C183" i="3"/>
  <c r="M182" i="3"/>
  <c r="N182" i="3" s="1"/>
  <c r="O182" i="3" s="1"/>
  <c r="L182" i="3"/>
  <c r="C182" i="3"/>
  <c r="M181" i="3"/>
  <c r="L181" i="3"/>
  <c r="N181" i="3" s="1"/>
  <c r="O181" i="3" s="1"/>
  <c r="C181" i="3"/>
  <c r="M180" i="3"/>
  <c r="L180" i="3"/>
  <c r="N180" i="3" s="1"/>
  <c r="O180" i="3" s="1"/>
  <c r="C180" i="3"/>
  <c r="M179" i="3"/>
  <c r="L179" i="3"/>
  <c r="N179" i="3" s="1"/>
  <c r="O179" i="3" s="1"/>
  <c r="C179" i="3"/>
  <c r="M178" i="3"/>
  <c r="N178" i="3" s="1"/>
  <c r="O178" i="3" s="1"/>
  <c r="L178" i="3"/>
  <c r="C178" i="3"/>
  <c r="M177" i="3"/>
  <c r="L177" i="3"/>
  <c r="N177" i="3" s="1"/>
  <c r="O177" i="3" s="1"/>
  <c r="C177" i="3"/>
  <c r="M176" i="3"/>
  <c r="L176" i="3"/>
  <c r="C176" i="3"/>
  <c r="M175" i="3"/>
  <c r="L175" i="3"/>
  <c r="N175" i="3" s="1"/>
  <c r="O175" i="3" s="1"/>
  <c r="C175" i="3"/>
  <c r="M174" i="3"/>
  <c r="N174" i="3" s="1"/>
  <c r="O174" i="3" s="1"/>
  <c r="L174" i="3"/>
  <c r="C174" i="3"/>
  <c r="M173" i="3"/>
  <c r="L173" i="3"/>
  <c r="N173" i="3" s="1"/>
  <c r="O173" i="3" s="1"/>
  <c r="C173" i="3"/>
  <c r="M172" i="3"/>
  <c r="L172" i="3"/>
  <c r="C172" i="3"/>
  <c r="M171" i="3"/>
  <c r="L171" i="3"/>
  <c r="N171" i="3" s="1"/>
  <c r="O171" i="3" s="1"/>
  <c r="C171" i="3"/>
  <c r="M170" i="3"/>
  <c r="N170" i="3" s="1"/>
  <c r="O170" i="3" s="1"/>
  <c r="L170" i="3"/>
  <c r="C170" i="3"/>
  <c r="M169" i="3"/>
  <c r="L169" i="3"/>
  <c r="N169" i="3" s="1"/>
  <c r="O169" i="3" s="1"/>
  <c r="C169" i="3"/>
  <c r="M168" i="3"/>
  <c r="L168" i="3"/>
  <c r="C168" i="3"/>
  <c r="M167" i="3"/>
  <c r="L167" i="3"/>
  <c r="N167" i="3" s="1"/>
  <c r="O167" i="3" s="1"/>
  <c r="C167" i="3"/>
  <c r="M166" i="3"/>
  <c r="N166" i="3" s="1"/>
  <c r="O166" i="3" s="1"/>
  <c r="L166" i="3"/>
  <c r="C166" i="3"/>
  <c r="M165" i="3"/>
  <c r="L165" i="3"/>
  <c r="N165" i="3" s="1"/>
  <c r="O165" i="3" s="1"/>
  <c r="C165" i="3"/>
  <c r="M164" i="3"/>
  <c r="L164" i="3"/>
  <c r="C164" i="3"/>
  <c r="M163" i="3"/>
  <c r="L163" i="3"/>
  <c r="N163" i="3" s="1"/>
  <c r="O163" i="3" s="1"/>
  <c r="C163" i="3"/>
  <c r="M162" i="3"/>
  <c r="N162" i="3" s="1"/>
  <c r="O162" i="3" s="1"/>
  <c r="L162" i="3"/>
  <c r="C162" i="3"/>
  <c r="M161" i="3"/>
  <c r="L161" i="3"/>
  <c r="N161" i="3" s="1"/>
  <c r="O161" i="3" s="1"/>
  <c r="C161" i="3"/>
  <c r="M160" i="3"/>
  <c r="L160" i="3"/>
  <c r="C160" i="3"/>
  <c r="M159" i="3"/>
  <c r="L159" i="3"/>
  <c r="N159" i="3" s="1"/>
  <c r="O159" i="3" s="1"/>
  <c r="C159" i="3"/>
  <c r="M158" i="3"/>
  <c r="N158" i="3" s="1"/>
  <c r="O158" i="3" s="1"/>
  <c r="L158" i="3"/>
  <c r="C158" i="3"/>
  <c r="M157" i="3"/>
  <c r="L157" i="3"/>
  <c r="N157" i="3" s="1"/>
  <c r="O157" i="3" s="1"/>
  <c r="C157" i="3"/>
  <c r="M156" i="3"/>
  <c r="L156" i="3"/>
  <c r="C156" i="3"/>
  <c r="M155" i="3"/>
  <c r="L155" i="3"/>
  <c r="N155" i="3" s="1"/>
  <c r="O155" i="3" s="1"/>
  <c r="C155" i="3"/>
  <c r="M154" i="3"/>
  <c r="N154" i="3" s="1"/>
  <c r="O154" i="3" s="1"/>
  <c r="L154" i="3"/>
  <c r="C154" i="3"/>
  <c r="M153" i="3"/>
  <c r="L153" i="3"/>
  <c r="N153" i="3" s="1"/>
  <c r="O153" i="3" s="1"/>
  <c r="C153" i="3"/>
  <c r="M152" i="3"/>
  <c r="L152" i="3"/>
  <c r="C152" i="3"/>
  <c r="M151" i="3"/>
  <c r="L151" i="3"/>
  <c r="N151" i="3" s="1"/>
  <c r="O151" i="3" s="1"/>
  <c r="C151" i="3"/>
  <c r="M150" i="3"/>
  <c r="N150" i="3" s="1"/>
  <c r="O150" i="3" s="1"/>
  <c r="L150" i="3"/>
  <c r="C150" i="3"/>
  <c r="M149" i="3"/>
  <c r="L149" i="3"/>
  <c r="N149" i="3" s="1"/>
  <c r="O149" i="3" s="1"/>
  <c r="C149" i="3"/>
  <c r="M148" i="3"/>
  <c r="L148" i="3"/>
  <c r="C148" i="3"/>
  <c r="M147" i="3"/>
  <c r="L147" i="3"/>
  <c r="N147" i="3" s="1"/>
  <c r="O147" i="3" s="1"/>
  <c r="C147" i="3"/>
  <c r="N146" i="3"/>
  <c r="O146" i="3" s="1"/>
  <c r="M146" i="3"/>
  <c r="L146" i="3"/>
  <c r="C146" i="3"/>
  <c r="O145" i="3"/>
  <c r="N145" i="3"/>
  <c r="M145" i="3"/>
  <c r="L145" i="3"/>
  <c r="C145" i="3"/>
  <c r="M144" i="3"/>
  <c r="L144" i="3"/>
  <c r="C144" i="3"/>
  <c r="M143" i="3"/>
  <c r="N143" i="3" s="1"/>
  <c r="O143" i="3" s="1"/>
  <c r="L143" i="3"/>
  <c r="C143" i="3"/>
  <c r="N142" i="3"/>
  <c r="O142" i="3" s="1"/>
  <c r="M142" i="3"/>
  <c r="L142" i="3"/>
  <c r="C142" i="3"/>
  <c r="O141" i="3"/>
  <c r="M141" i="3"/>
  <c r="L141" i="3"/>
  <c r="N141" i="3" s="1"/>
  <c r="C141" i="3"/>
  <c r="M140" i="3"/>
  <c r="L140" i="3"/>
  <c r="N140" i="3" s="1"/>
  <c r="O140" i="3" s="1"/>
  <c r="C140" i="3"/>
  <c r="M139" i="3"/>
  <c r="L139" i="3"/>
  <c r="C139" i="3"/>
  <c r="M138" i="3"/>
  <c r="N138" i="3" s="1"/>
  <c r="O138" i="3" s="1"/>
  <c r="L138" i="3"/>
  <c r="C138" i="3"/>
  <c r="N137" i="3"/>
  <c r="O137" i="3" s="1"/>
  <c r="M137" i="3"/>
  <c r="L137" i="3"/>
  <c r="C137" i="3"/>
  <c r="M136" i="3"/>
  <c r="L136" i="3"/>
  <c r="C136" i="3"/>
  <c r="N135" i="3"/>
  <c r="O135" i="3" s="1"/>
  <c r="M135" i="3"/>
  <c r="L135" i="3"/>
  <c r="C135" i="3"/>
  <c r="O134" i="3"/>
  <c r="N134" i="3"/>
  <c r="M134" i="3"/>
  <c r="L134" i="3"/>
  <c r="C134" i="3"/>
  <c r="M133" i="3"/>
  <c r="L133" i="3"/>
  <c r="N133" i="3" s="1"/>
  <c r="O133" i="3" s="1"/>
  <c r="C133" i="3"/>
  <c r="M132" i="3"/>
  <c r="L132" i="3"/>
  <c r="N132" i="3" s="1"/>
  <c r="O132" i="3" s="1"/>
  <c r="C132" i="3"/>
  <c r="M131" i="3"/>
  <c r="L131" i="3"/>
  <c r="C131" i="3"/>
  <c r="M130" i="3"/>
  <c r="N130" i="3" s="1"/>
  <c r="O130" i="3" s="1"/>
  <c r="L130" i="3"/>
  <c r="C130" i="3"/>
  <c r="N129" i="3"/>
  <c r="O129" i="3" s="1"/>
  <c r="M129" i="3"/>
  <c r="L129" i="3"/>
  <c r="C129" i="3"/>
  <c r="M128" i="3"/>
  <c r="L128" i="3"/>
  <c r="C128" i="3"/>
  <c r="N127" i="3"/>
  <c r="O127" i="3" s="1"/>
  <c r="M127" i="3"/>
  <c r="L127" i="3"/>
  <c r="C127" i="3"/>
  <c r="O126" i="3"/>
  <c r="N126" i="3"/>
  <c r="M126" i="3"/>
  <c r="L126" i="3"/>
  <c r="C126" i="3"/>
  <c r="M125" i="3"/>
  <c r="L125" i="3"/>
  <c r="N125" i="3" s="1"/>
  <c r="O125" i="3" s="1"/>
  <c r="C125" i="3"/>
  <c r="M124" i="3"/>
  <c r="L124" i="3"/>
  <c r="N124" i="3" s="1"/>
  <c r="O124" i="3" s="1"/>
  <c r="C124" i="3"/>
  <c r="N123" i="3"/>
  <c r="O123" i="3" s="1"/>
  <c r="M123" i="3"/>
  <c r="L123" i="3"/>
  <c r="C123" i="3"/>
  <c r="M122" i="3"/>
  <c r="N122" i="3" s="1"/>
  <c r="O122" i="3" s="1"/>
  <c r="L122" i="3"/>
  <c r="C122" i="3"/>
  <c r="M121" i="3"/>
  <c r="L121" i="3"/>
  <c r="N121" i="3" s="1"/>
  <c r="O121" i="3" s="1"/>
  <c r="C121" i="3"/>
  <c r="M120" i="3"/>
  <c r="L120" i="3"/>
  <c r="N120" i="3" s="1"/>
  <c r="O120" i="3" s="1"/>
  <c r="C120" i="3"/>
  <c r="M119" i="3"/>
  <c r="L119" i="3"/>
  <c r="N119" i="3" s="1"/>
  <c r="O119" i="3" s="1"/>
  <c r="C119" i="3"/>
  <c r="M118" i="3"/>
  <c r="N118" i="3" s="1"/>
  <c r="O118" i="3" s="1"/>
  <c r="L118" i="3"/>
  <c r="C118" i="3"/>
  <c r="N117" i="3"/>
  <c r="O117" i="3" s="1"/>
  <c r="M117" i="3"/>
  <c r="L117" i="3"/>
  <c r="C117" i="3"/>
  <c r="M116" i="3"/>
  <c r="L116" i="3"/>
  <c r="N116" i="3" s="1"/>
  <c r="O116" i="3" s="1"/>
  <c r="C116" i="3"/>
  <c r="M115" i="3"/>
  <c r="L115" i="3"/>
  <c r="N115" i="3" s="1"/>
  <c r="O115" i="3" s="1"/>
  <c r="C115" i="3"/>
  <c r="M114" i="3"/>
  <c r="N114" i="3" s="1"/>
  <c r="O114" i="3" s="1"/>
  <c r="L114" i="3"/>
  <c r="C114" i="3"/>
  <c r="N113" i="3"/>
  <c r="O113" i="3" s="1"/>
  <c r="M113" i="3"/>
  <c r="L113" i="3"/>
  <c r="C113" i="3"/>
  <c r="M112" i="3"/>
  <c r="L112" i="3"/>
  <c r="N112" i="3" s="1"/>
  <c r="O112" i="3" s="1"/>
  <c r="C112" i="3"/>
  <c r="M111" i="3"/>
  <c r="L111" i="3"/>
  <c r="N111" i="3" s="1"/>
  <c r="O111" i="3" s="1"/>
  <c r="C111" i="3"/>
  <c r="M110" i="3"/>
  <c r="N110" i="3" s="1"/>
  <c r="O110" i="3" s="1"/>
  <c r="L110" i="3"/>
  <c r="C110" i="3"/>
  <c r="N109" i="3"/>
  <c r="O109" i="3" s="1"/>
  <c r="M109" i="3"/>
  <c r="L109" i="3"/>
  <c r="C109" i="3"/>
  <c r="M108" i="3"/>
  <c r="L108" i="3"/>
  <c r="N108" i="3" s="1"/>
  <c r="O108" i="3" s="1"/>
  <c r="C108" i="3"/>
  <c r="M107" i="3"/>
  <c r="L107" i="3"/>
  <c r="N107" i="3" s="1"/>
  <c r="O107" i="3" s="1"/>
  <c r="C107" i="3"/>
  <c r="M106" i="3"/>
  <c r="N106" i="3" s="1"/>
  <c r="O106" i="3" s="1"/>
  <c r="L106" i="3"/>
  <c r="C106" i="3"/>
  <c r="N105" i="3"/>
  <c r="O105" i="3" s="1"/>
  <c r="M105" i="3"/>
  <c r="L105" i="3"/>
  <c r="C105" i="3"/>
  <c r="M104" i="3"/>
  <c r="L104" i="3"/>
  <c r="N104" i="3" s="1"/>
  <c r="O104" i="3" s="1"/>
  <c r="C104" i="3"/>
  <c r="M103" i="3"/>
  <c r="L103" i="3"/>
  <c r="N103" i="3" s="1"/>
  <c r="O103" i="3" s="1"/>
  <c r="C103" i="3"/>
  <c r="M102" i="3"/>
  <c r="N102" i="3" s="1"/>
  <c r="O102" i="3" s="1"/>
  <c r="L102" i="3"/>
  <c r="C102" i="3"/>
  <c r="N101" i="3"/>
  <c r="O101" i="3" s="1"/>
  <c r="M101" i="3"/>
  <c r="L101" i="3"/>
  <c r="C101" i="3"/>
  <c r="M100" i="3"/>
  <c r="L100" i="3"/>
  <c r="N100" i="3" s="1"/>
  <c r="O100" i="3" s="1"/>
  <c r="C100" i="3"/>
  <c r="M99" i="3"/>
  <c r="L99" i="3"/>
  <c r="N99" i="3" s="1"/>
  <c r="O99" i="3" s="1"/>
  <c r="C99" i="3"/>
  <c r="M98" i="3"/>
  <c r="N98" i="3" s="1"/>
  <c r="O98" i="3" s="1"/>
  <c r="L98" i="3"/>
  <c r="C98" i="3"/>
  <c r="N97" i="3"/>
  <c r="O97" i="3" s="1"/>
  <c r="M97" i="3"/>
  <c r="L97" i="3"/>
  <c r="C97" i="3"/>
  <c r="M96" i="3"/>
  <c r="L96" i="3"/>
  <c r="N96" i="3" s="1"/>
  <c r="O96" i="3" s="1"/>
  <c r="C96" i="3"/>
  <c r="M95" i="3"/>
  <c r="L95" i="3"/>
  <c r="N95" i="3" s="1"/>
  <c r="O95" i="3" s="1"/>
  <c r="C95" i="3"/>
  <c r="M94" i="3"/>
  <c r="N94" i="3" s="1"/>
  <c r="O94" i="3" s="1"/>
  <c r="L94" i="3"/>
  <c r="C94" i="3"/>
  <c r="N93" i="3"/>
  <c r="O93" i="3" s="1"/>
  <c r="M93" i="3"/>
  <c r="L93" i="3"/>
  <c r="C93" i="3"/>
  <c r="M92" i="3"/>
  <c r="L92" i="3"/>
  <c r="N92" i="3" s="1"/>
  <c r="O92" i="3" s="1"/>
  <c r="C92" i="3"/>
  <c r="M91" i="3"/>
  <c r="L91" i="3"/>
  <c r="N91" i="3" s="1"/>
  <c r="O91" i="3" s="1"/>
  <c r="C91" i="3"/>
  <c r="M90" i="3"/>
  <c r="N90" i="3" s="1"/>
  <c r="O90" i="3" s="1"/>
  <c r="L90" i="3"/>
  <c r="C90" i="3"/>
  <c r="N89" i="3"/>
  <c r="O89" i="3" s="1"/>
  <c r="M89" i="3"/>
  <c r="L89" i="3"/>
  <c r="C89" i="3"/>
  <c r="M88" i="3"/>
  <c r="L88" i="3"/>
  <c r="N88" i="3" s="1"/>
  <c r="O88" i="3" s="1"/>
  <c r="C88" i="3"/>
  <c r="M87" i="3"/>
  <c r="L87" i="3"/>
  <c r="N87" i="3" s="1"/>
  <c r="O87" i="3" s="1"/>
  <c r="C87" i="3"/>
  <c r="M86" i="3"/>
  <c r="N86" i="3" s="1"/>
  <c r="O86" i="3" s="1"/>
  <c r="L86" i="3"/>
  <c r="C86" i="3"/>
  <c r="N85" i="3"/>
  <c r="O85" i="3" s="1"/>
  <c r="M85" i="3"/>
  <c r="L85" i="3"/>
  <c r="C85" i="3"/>
  <c r="M84" i="3"/>
  <c r="L84" i="3"/>
  <c r="N84" i="3" s="1"/>
  <c r="O84" i="3" s="1"/>
  <c r="C84" i="3"/>
  <c r="M83" i="3"/>
  <c r="L83" i="3"/>
  <c r="N83" i="3" s="1"/>
  <c r="O83" i="3" s="1"/>
  <c r="C83" i="3"/>
  <c r="M82" i="3"/>
  <c r="N82" i="3" s="1"/>
  <c r="O82" i="3" s="1"/>
  <c r="L82" i="3"/>
  <c r="C82" i="3"/>
  <c r="N81" i="3"/>
  <c r="O81" i="3" s="1"/>
  <c r="M81" i="3"/>
  <c r="L81" i="3"/>
  <c r="C81" i="3"/>
  <c r="M80" i="3"/>
  <c r="L80" i="3"/>
  <c r="N80" i="3" s="1"/>
  <c r="O80" i="3" s="1"/>
  <c r="C80" i="3"/>
  <c r="M79" i="3"/>
  <c r="L79" i="3"/>
  <c r="N79" i="3" s="1"/>
  <c r="O79" i="3" s="1"/>
  <c r="C79" i="3"/>
  <c r="M78" i="3"/>
  <c r="N78" i="3" s="1"/>
  <c r="O78" i="3" s="1"/>
  <c r="L78" i="3"/>
  <c r="C78" i="3"/>
  <c r="N77" i="3"/>
  <c r="O77" i="3" s="1"/>
  <c r="M77" i="3"/>
  <c r="L77" i="3"/>
  <c r="C77" i="3"/>
  <c r="M76" i="3"/>
  <c r="L76" i="3"/>
  <c r="N76" i="3" s="1"/>
  <c r="O76" i="3" s="1"/>
  <c r="C76" i="3"/>
  <c r="M75" i="3"/>
  <c r="L75" i="3"/>
  <c r="N75" i="3" s="1"/>
  <c r="O75" i="3" s="1"/>
  <c r="C75" i="3"/>
  <c r="M74" i="3"/>
  <c r="N74" i="3" s="1"/>
  <c r="O74" i="3" s="1"/>
  <c r="L74" i="3"/>
  <c r="C74" i="3"/>
  <c r="N73" i="3"/>
  <c r="O73" i="3" s="1"/>
  <c r="M73" i="3"/>
  <c r="L73" i="3"/>
  <c r="C73" i="3"/>
  <c r="M72" i="3"/>
  <c r="L72" i="3"/>
  <c r="N72" i="3" s="1"/>
  <c r="O72" i="3" s="1"/>
  <c r="C72" i="3"/>
  <c r="M71" i="3"/>
  <c r="L71" i="3"/>
  <c r="N71" i="3" s="1"/>
  <c r="O71" i="3" s="1"/>
  <c r="C71" i="3"/>
  <c r="M70" i="3"/>
  <c r="N70" i="3" s="1"/>
  <c r="O70" i="3" s="1"/>
  <c r="L70" i="3"/>
  <c r="C70" i="3"/>
  <c r="N69" i="3"/>
  <c r="O69" i="3" s="1"/>
  <c r="M69" i="3"/>
  <c r="L69" i="3"/>
  <c r="C69" i="3"/>
  <c r="M68" i="3"/>
  <c r="L68" i="3"/>
  <c r="N68" i="3" s="1"/>
  <c r="O68" i="3" s="1"/>
  <c r="C68" i="3"/>
  <c r="M67" i="3"/>
  <c r="L67" i="3"/>
  <c r="N67" i="3" s="1"/>
  <c r="O67" i="3" s="1"/>
  <c r="C67" i="3"/>
  <c r="M66" i="3"/>
  <c r="N66" i="3" s="1"/>
  <c r="O66" i="3" s="1"/>
  <c r="L66" i="3"/>
  <c r="C66" i="3"/>
  <c r="N65" i="3"/>
  <c r="O65" i="3" s="1"/>
  <c r="M65" i="3"/>
  <c r="L65" i="3"/>
  <c r="C65" i="3"/>
  <c r="M64" i="3"/>
  <c r="L64" i="3"/>
  <c r="N64" i="3" s="1"/>
  <c r="O64" i="3" s="1"/>
  <c r="C64" i="3"/>
  <c r="M63" i="3"/>
  <c r="L63" i="3"/>
  <c r="N63" i="3" s="1"/>
  <c r="O63" i="3" s="1"/>
  <c r="C63" i="3"/>
  <c r="M62" i="3"/>
  <c r="N62" i="3" s="1"/>
  <c r="O62" i="3" s="1"/>
  <c r="L62" i="3"/>
  <c r="C62" i="3"/>
  <c r="N61" i="3"/>
  <c r="O61" i="3" s="1"/>
  <c r="M61" i="3"/>
  <c r="L61" i="3"/>
  <c r="C61" i="3"/>
  <c r="M60" i="3"/>
  <c r="L60" i="3"/>
  <c r="N60" i="3" s="1"/>
  <c r="O60" i="3" s="1"/>
  <c r="C60" i="3"/>
  <c r="M59" i="3"/>
  <c r="L59" i="3"/>
  <c r="N59" i="3" s="1"/>
  <c r="O59" i="3" s="1"/>
  <c r="C59" i="3"/>
  <c r="M58" i="3"/>
  <c r="N58" i="3" s="1"/>
  <c r="O58" i="3" s="1"/>
  <c r="L58" i="3"/>
  <c r="C58" i="3"/>
  <c r="N57" i="3"/>
  <c r="O57" i="3" s="1"/>
  <c r="M57" i="3"/>
  <c r="L57" i="3"/>
  <c r="C57" i="3"/>
  <c r="M56" i="3"/>
  <c r="L56" i="3"/>
  <c r="N56" i="3" s="1"/>
  <c r="O56" i="3" s="1"/>
  <c r="C56" i="3"/>
  <c r="M55" i="3"/>
  <c r="L55" i="3"/>
  <c r="N55" i="3" s="1"/>
  <c r="O55" i="3" s="1"/>
  <c r="C55" i="3"/>
  <c r="M54" i="3"/>
  <c r="N54" i="3" s="1"/>
  <c r="O54" i="3" s="1"/>
  <c r="L54" i="3"/>
  <c r="C54" i="3"/>
  <c r="N53" i="3"/>
  <c r="O53" i="3" s="1"/>
  <c r="M53" i="3"/>
  <c r="L53" i="3"/>
  <c r="C53" i="3"/>
  <c r="M52" i="3"/>
  <c r="L52" i="3"/>
  <c r="N52" i="3" s="1"/>
  <c r="O52" i="3" s="1"/>
  <c r="C52" i="3"/>
  <c r="M51" i="3"/>
  <c r="L51" i="3"/>
  <c r="N51" i="3" s="1"/>
  <c r="O51" i="3" s="1"/>
  <c r="C51" i="3"/>
  <c r="M50" i="3"/>
  <c r="N50" i="3" s="1"/>
  <c r="O50" i="3" s="1"/>
  <c r="L50" i="3"/>
  <c r="C50" i="3"/>
  <c r="N49" i="3"/>
  <c r="O49" i="3" s="1"/>
  <c r="M49" i="3"/>
  <c r="L49" i="3"/>
  <c r="C49" i="3"/>
  <c r="M48" i="3"/>
  <c r="L48" i="3"/>
  <c r="N48" i="3" s="1"/>
  <c r="O48" i="3" s="1"/>
  <c r="C48" i="3"/>
  <c r="M47" i="3"/>
  <c r="L47" i="3"/>
  <c r="N47" i="3" s="1"/>
  <c r="O47" i="3" s="1"/>
  <c r="C47" i="3"/>
  <c r="M46" i="3"/>
  <c r="N46" i="3" s="1"/>
  <c r="O46" i="3" s="1"/>
  <c r="L46" i="3"/>
  <c r="C46" i="3"/>
  <c r="N45" i="3"/>
  <c r="O45" i="3" s="1"/>
  <c r="M45" i="3"/>
  <c r="L45" i="3"/>
  <c r="C45" i="3"/>
  <c r="M44" i="3"/>
  <c r="L44" i="3"/>
  <c r="N44" i="3" s="1"/>
  <c r="O44" i="3" s="1"/>
  <c r="C44" i="3"/>
  <c r="M43" i="3"/>
  <c r="L43" i="3"/>
  <c r="N43" i="3" s="1"/>
  <c r="O43" i="3" s="1"/>
  <c r="C43" i="3"/>
  <c r="M42" i="3"/>
  <c r="N42" i="3" s="1"/>
  <c r="O42" i="3" s="1"/>
  <c r="L42" i="3"/>
  <c r="C42" i="3"/>
  <c r="N41" i="3"/>
  <c r="O41" i="3" s="1"/>
  <c r="M41" i="3"/>
  <c r="L41" i="3"/>
  <c r="C41" i="3"/>
  <c r="M40" i="3"/>
  <c r="L40" i="3"/>
  <c r="N40" i="3" s="1"/>
  <c r="O40" i="3" s="1"/>
  <c r="C40" i="3"/>
  <c r="M39" i="3"/>
  <c r="L39" i="3"/>
  <c r="N39" i="3" s="1"/>
  <c r="O39" i="3" s="1"/>
  <c r="C39" i="3"/>
  <c r="M38" i="3"/>
  <c r="N38" i="3" s="1"/>
  <c r="O38" i="3" s="1"/>
  <c r="L38" i="3"/>
  <c r="C38" i="3"/>
  <c r="N37" i="3"/>
  <c r="O37" i="3" s="1"/>
  <c r="M37" i="3"/>
  <c r="L37" i="3"/>
  <c r="C37" i="3"/>
  <c r="M36" i="3"/>
  <c r="L36" i="3"/>
  <c r="N36" i="3" s="1"/>
  <c r="O36" i="3" s="1"/>
  <c r="C36" i="3"/>
  <c r="M35" i="3"/>
  <c r="L35" i="3"/>
  <c r="N35" i="3" s="1"/>
  <c r="O35" i="3" s="1"/>
  <c r="C35" i="3"/>
  <c r="M34" i="3"/>
  <c r="N34" i="3" s="1"/>
  <c r="O34" i="3" s="1"/>
  <c r="L34" i="3"/>
  <c r="C34" i="3"/>
  <c r="N33" i="3"/>
  <c r="O33" i="3" s="1"/>
  <c r="M33" i="3"/>
  <c r="L33" i="3"/>
  <c r="C33" i="3"/>
  <c r="M32" i="3"/>
  <c r="L32" i="3"/>
  <c r="N32" i="3" s="1"/>
  <c r="O32" i="3" s="1"/>
  <c r="C32" i="3"/>
  <c r="M31" i="3"/>
  <c r="L31" i="3"/>
  <c r="N31" i="3" s="1"/>
  <c r="O31" i="3" s="1"/>
  <c r="C31" i="3"/>
  <c r="M30" i="3"/>
  <c r="N30" i="3" s="1"/>
  <c r="O30" i="3" s="1"/>
  <c r="L30" i="3"/>
  <c r="C30" i="3"/>
  <c r="N29" i="3"/>
  <c r="O29" i="3" s="1"/>
  <c r="M29" i="3"/>
  <c r="L29" i="3"/>
  <c r="C29" i="3"/>
  <c r="M28" i="3"/>
  <c r="L28" i="3"/>
  <c r="N28" i="3" s="1"/>
  <c r="O28" i="3" s="1"/>
  <c r="C28" i="3"/>
  <c r="M27" i="3"/>
  <c r="L27" i="3"/>
  <c r="N27" i="3" s="1"/>
  <c r="O27" i="3" s="1"/>
  <c r="C27" i="3"/>
  <c r="M26" i="3"/>
  <c r="N26" i="3" s="1"/>
  <c r="O26" i="3" s="1"/>
  <c r="L26" i="3"/>
  <c r="C26" i="3"/>
  <c r="N25" i="3"/>
  <c r="O25" i="3" s="1"/>
  <c r="M25" i="3"/>
  <c r="L25" i="3"/>
  <c r="C25" i="3"/>
  <c r="M24" i="3"/>
  <c r="L24" i="3"/>
  <c r="N24" i="3" s="1"/>
  <c r="O24" i="3" s="1"/>
  <c r="C24" i="3"/>
  <c r="M23" i="3"/>
  <c r="L23" i="3"/>
  <c r="N23" i="3" s="1"/>
  <c r="O23" i="3" s="1"/>
  <c r="C23" i="3"/>
  <c r="M22" i="3"/>
  <c r="N22" i="3" s="1"/>
  <c r="O22" i="3" s="1"/>
  <c r="L22" i="3"/>
  <c r="C22" i="3"/>
  <c r="N21" i="3"/>
  <c r="M21" i="3"/>
  <c r="L21" i="3"/>
  <c r="C21" i="3"/>
  <c r="M20" i="3"/>
  <c r="L20" i="3"/>
  <c r="N20" i="3" s="1"/>
  <c r="O20" i="3" s="1"/>
  <c r="C20" i="3"/>
  <c r="M19" i="3"/>
  <c r="L19" i="3"/>
  <c r="N19" i="3" s="1"/>
  <c r="O19" i="3" s="1"/>
  <c r="C19" i="3"/>
  <c r="M18" i="3"/>
  <c r="N18" i="3" s="1"/>
  <c r="O18" i="3" s="1"/>
  <c r="L18" i="3"/>
  <c r="C18" i="3"/>
  <c r="N17" i="3"/>
  <c r="O17" i="3" s="1"/>
  <c r="M17" i="3"/>
  <c r="L17" i="3"/>
  <c r="C17" i="3"/>
  <c r="M16" i="3"/>
  <c r="L16" i="3"/>
  <c r="N16" i="3" s="1"/>
  <c r="O16" i="3" s="1"/>
  <c r="C16" i="3"/>
  <c r="M15" i="3"/>
  <c r="L15" i="3"/>
  <c r="N15" i="3" s="1"/>
  <c r="O15" i="3" s="1"/>
  <c r="C15" i="3"/>
  <c r="M14" i="3"/>
  <c r="N14" i="3" s="1"/>
  <c r="O14" i="3" s="1"/>
  <c r="L14" i="3"/>
  <c r="C14" i="3"/>
  <c r="N13" i="3"/>
  <c r="O13" i="3" s="1"/>
  <c r="M13" i="3"/>
  <c r="L13" i="3"/>
  <c r="C13" i="3"/>
  <c r="M12" i="3"/>
  <c r="L12" i="3"/>
  <c r="N12" i="3" s="1"/>
  <c r="O12" i="3" s="1"/>
  <c r="C12" i="3"/>
  <c r="M11" i="3"/>
  <c r="L11" i="3"/>
  <c r="C11" i="3"/>
  <c r="M10" i="3"/>
  <c r="N10" i="3" s="1"/>
  <c r="L10" i="3"/>
  <c r="C10" i="3"/>
  <c r="N9" i="3"/>
  <c r="M9" i="3"/>
  <c r="L9" i="3"/>
  <c r="C9" i="3"/>
  <c r="M8" i="3"/>
  <c r="L8" i="3"/>
  <c r="C8" i="3"/>
  <c r="M7" i="3"/>
  <c r="L7" i="3"/>
  <c r="N7" i="3" s="1"/>
  <c r="O7" i="3" s="1"/>
  <c r="C7" i="3"/>
  <c r="M6" i="3"/>
  <c r="N6" i="3" s="1"/>
  <c r="O6" i="3" s="1"/>
  <c r="L6" i="3"/>
  <c r="C6" i="3"/>
  <c r="N5" i="3"/>
  <c r="M5" i="3"/>
  <c r="L5" i="3"/>
  <c r="C5" i="3"/>
  <c r="M4" i="3"/>
  <c r="L4" i="3"/>
  <c r="C4" i="3"/>
  <c r="M3" i="3"/>
  <c r="L3" i="3"/>
  <c r="C3" i="3"/>
  <c r="M2" i="3"/>
  <c r="N2" i="3" s="1"/>
  <c r="L2" i="3"/>
  <c r="C2" i="3"/>
  <c r="D51" i="1"/>
  <c r="H9" i="1"/>
  <c r="D6" i="7" l="1"/>
  <c r="O10" i="3"/>
  <c r="O2" i="3"/>
  <c r="B7" i="6"/>
  <c r="C5" i="7"/>
  <c r="B6" i="5"/>
  <c r="B8" i="5"/>
  <c r="C10" i="7"/>
  <c r="O5" i="3"/>
  <c r="O9" i="3"/>
  <c r="C7" i="7"/>
  <c r="B6" i="6"/>
  <c r="B9" i="1"/>
  <c r="J9" i="1"/>
  <c r="C8" i="7"/>
  <c r="B5" i="6"/>
  <c r="B7" i="5"/>
  <c r="B9" i="6"/>
  <c r="O21" i="3"/>
  <c r="F10" i="4"/>
  <c r="B10" i="4"/>
  <c r="F8" i="4"/>
  <c r="B8" i="4"/>
  <c r="F6" i="4"/>
  <c r="B6" i="4"/>
  <c r="C9" i="4"/>
  <c r="C7" i="4"/>
  <c r="C5" i="4"/>
  <c r="F9" i="4"/>
  <c r="B9" i="4"/>
  <c r="F7" i="4"/>
  <c r="B7" i="4"/>
  <c r="F5" i="4"/>
  <c r="F11" i="4" s="1"/>
  <c r="B5" i="4"/>
  <c r="C10" i="8"/>
  <c r="C9" i="8"/>
  <c r="C8" i="8"/>
  <c r="C7" i="8"/>
  <c r="C6" i="8"/>
  <c r="C5" i="8"/>
  <c r="C10" i="4"/>
  <c r="C8" i="4"/>
  <c r="C6" i="4"/>
  <c r="N3" i="3"/>
  <c r="C9" i="7"/>
  <c r="N11" i="3"/>
  <c r="C11" i="7"/>
  <c r="C12" i="7"/>
  <c r="B5" i="5"/>
  <c r="F5" i="5" s="1"/>
  <c r="B8" i="6"/>
  <c r="N4" i="3"/>
  <c r="N8" i="3"/>
  <c r="C6" i="7"/>
  <c r="N131" i="3"/>
  <c r="O131" i="3" s="1"/>
  <c r="N139" i="3"/>
  <c r="O139" i="3" s="1"/>
  <c r="N148" i="3"/>
  <c r="O148" i="3" s="1"/>
  <c r="N152" i="3"/>
  <c r="O152" i="3" s="1"/>
  <c r="N156" i="3"/>
  <c r="O156" i="3" s="1"/>
  <c r="N160" i="3"/>
  <c r="O160" i="3" s="1"/>
  <c r="N164" i="3"/>
  <c r="O164" i="3" s="1"/>
  <c r="N168" i="3"/>
  <c r="O168" i="3" s="1"/>
  <c r="N172" i="3"/>
  <c r="O172" i="3" s="1"/>
  <c r="N176" i="3"/>
  <c r="O176" i="3" s="1"/>
  <c r="N188" i="3"/>
  <c r="O188" i="3" s="1"/>
  <c r="N128" i="3"/>
  <c r="O128" i="3" s="1"/>
  <c r="N136" i="3"/>
  <c r="O136" i="3" s="1"/>
  <c r="N144" i="3"/>
  <c r="O144" i="3" s="1"/>
  <c r="E8" i="8" l="1"/>
  <c r="F8" i="8" s="1"/>
  <c r="D8" i="8"/>
  <c r="D6" i="4"/>
  <c r="E6" i="4" s="1"/>
  <c r="G6" i="4"/>
  <c r="C9" i="6"/>
  <c r="D9" i="6" s="1"/>
  <c r="O8" i="3"/>
  <c r="G12" i="7"/>
  <c r="F12" i="7"/>
  <c r="C7" i="6"/>
  <c r="D7" i="6" s="1"/>
  <c r="D5" i="7"/>
  <c r="C6" i="5"/>
  <c r="D6" i="5" s="1"/>
  <c r="O3" i="3"/>
  <c r="D7" i="4"/>
  <c r="E7" i="4" s="1"/>
  <c r="G7" i="4"/>
  <c r="C7" i="5"/>
  <c r="D7" i="5" s="1"/>
  <c r="D8" i="7"/>
  <c r="C5" i="6"/>
  <c r="D5" i="6" s="1"/>
  <c r="O4" i="3"/>
  <c r="G11" i="7"/>
  <c r="F11" i="7"/>
  <c r="E6" i="8"/>
  <c r="F6" i="8" s="1"/>
  <c r="D6" i="8"/>
  <c r="E10" i="8"/>
  <c r="D10" i="8"/>
  <c r="D52" i="1"/>
  <c r="D8" i="4"/>
  <c r="E8" i="4" s="1"/>
  <c r="G8" i="4"/>
  <c r="G8" i="7"/>
  <c r="F8" i="7"/>
  <c r="G7" i="7"/>
  <c r="F7" i="7"/>
  <c r="G10" i="7"/>
  <c r="F10" i="7"/>
  <c r="D9" i="7"/>
  <c r="D9" i="1"/>
  <c r="D12" i="7"/>
  <c r="G6" i="7"/>
  <c r="F6" i="7"/>
  <c r="F9" i="7"/>
  <c r="G9" i="7"/>
  <c r="E9" i="8"/>
  <c r="F9" i="8" s="1"/>
  <c r="D9" i="8"/>
  <c r="C8" i="5"/>
  <c r="D8" i="5" s="1"/>
  <c r="D10" i="7"/>
  <c r="O11" i="3"/>
  <c r="E7" i="8"/>
  <c r="F7" i="8" s="1"/>
  <c r="D7" i="8"/>
  <c r="D5" i="4"/>
  <c r="G5" i="4"/>
  <c r="B11" i="4"/>
  <c r="G11" i="4" s="1"/>
  <c r="D9" i="4"/>
  <c r="E9" i="4" s="1"/>
  <c r="G9" i="4"/>
  <c r="F8" i="5"/>
  <c r="F6" i="5"/>
  <c r="C8" i="6"/>
  <c r="D8" i="6" s="1"/>
  <c r="D10" i="4"/>
  <c r="E10" i="4" s="1"/>
  <c r="G10" i="4"/>
  <c r="F7" i="5"/>
  <c r="C6" i="6"/>
  <c r="D6" i="6" s="1"/>
  <c r="F5" i="7"/>
  <c r="G5" i="7"/>
  <c r="F9" i="1"/>
  <c r="E5" i="8"/>
  <c r="F5" i="8" s="1"/>
  <c r="C11" i="8"/>
  <c r="D5" i="8"/>
  <c r="C11" i="4"/>
  <c r="D11" i="7"/>
  <c r="D7" i="7"/>
  <c r="C5" i="5"/>
  <c r="D5" i="5" s="1"/>
  <c r="E11" i="8" l="1"/>
  <c r="D11" i="8"/>
  <c r="D54" i="1"/>
  <c r="D11" i="4"/>
  <c r="E11" i="4" s="1"/>
  <c r="E5" i="4"/>
  <c r="F10" i="8"/>
  <c r="D53" i="1"/>
</calcChain>
</file>

<file path=xl/sharedStrings.xml><?xml version="1.0" encoding="utf-8"?>
<sst xmlns="http://schemas.openxmlformats.org/spreadsheetml/2006/main" count="1688" uniqueCount="479">
  <si>
    <t xml:space="preserve">  Sales Revenue Tracker — Executive Dashboard</t>
  </si>
  <si>
    <t xml:space="preserve">  H1 2026 (Jan – Jun)  |  Data source: Sales_Data sheet  |  Refresh: values recalc automatically</t>
  </si>
  <si>
    <t>Total Revenue</t>
  </si>
  <si>
    <t>Total Profit</t>
  </si>
  <si>
    <t>Overall Margin %</t>
  </si>
  <si>
    <t>Total Orders</t>
  </si>
  <si>
    <t>Avg Order Value</t>
  </si>
  <si>
    <t>Performance Breakdown</t>
  </si>
  <si>
    <t>Target Achievement Snapshot (Latest Month: Jun-26)</t>
  </si>
  <si>
    <t>Jun-26 Target</t>
  </si>
  <si>
    <t>Jun-26 Actual</t>
  </si>
  <si>
    <t>Jun-26 Achievement</t>
  </si>
  <si>
    <t>H1 2026 Achievement</t>
  </si>
  <si>
    <t xml:space="preserve">  Sales Revenue Tracker System — User Guide</t>
  </si>
  <si>
    <t>Purpose</t>
  </si>
  <si>
    <t>This workbook is a complete, self-updating Sales Revenue Tracking system. Log every sale in one place and every report, KPI and chart in the workbook recalculates automatically.</t>
  </si>
  <si>
    <t>Who is this for</t>
  </si>
  <si>
    <t>Sales Operations, Regional Managers, and the Sales Manager reviewing team performance.</t>
  </si>
  <si>
    <t>Workbook Map</t>
  </si>
  <si>
    <t>Sheet</t>
  </si>
  <si>
    <t>What it contains</t>
  </si>
  <si>
    <t>Do you edit it?</t>
  </si>
  <si>
    <t>Dashboard</t>
  </si>
  <si>
    <t>Executive summary: KPIs, revenue trend, region/category/rep breakdowns.</t>
  </si>
  <si>
    <t>No — auto-updates</t>
  </si>
  <si>
    <t>Sales_Data</t>
  </si>
  <si>
    <t>One row per transaction — the single source of truth. Add new sales here.</t>
  </si>
  <si>
    <t>Yes — add new rows here</t>
  </si>
  <si>
    <t>Monthly_Summary</t>
  </si>
  <si>
    <t>Revenue, cost, profit and margin rolled up by month.</t>
  </si>
  <si>
    <t>Regional_Summary</t>
  </si>
  <si>
    <t>Performance broken down by sales region.</t>
  </si>
  <si>
    <t>Category_Summary</t>
  </si>
  <si>
    <t>Performance broken down by product category.</t>
  </si>
  <si>
    <t>Rep_Performance</t>
  </si>
  <si>
    <t>Individual sales rep scorecard and ranking.</t>
  </si>
  <si>
    <t>Targets_vs_Actual</t>
  </si>
  <si>
    <t>Monthly revenue target vs. actual achievement.</t>
  </si>
  <si>
    <t>Yes — edit Target column only</t>
  </si>
  <si>
    <t>How to add a new sale</t>
  </si>
  <si>
    <t>1. Open the Sales_Data sheet.</t>
  </si>
  <si>
    <t>2. Go to the first empty row at the bottom of the table.</t>
  </si>
  <si>
    <t>3. Fill in Sale ID, Date, Region, Sales Rep, Category, Product, Units Sold, Unit Price and Unit Cost (blue cells only).</t>
  </si>
  <si>
    <t>4. Revenue, Cost and Profit calculate automatically — do not type into those columns.</t>
  </si>
  <si>
    <t>5. The Dashboard, Monthly_Summary, Regional_Summary, Category_Summary and Rep_Performance sheets update instantly.</t>
  </si>
  <si>
    <t>Color Key</t>
  </si>
  <si>
    <t>Blue text</t>
  </si>
  <si>
    <t>Editable input — safe to type over</t>
  </si>
  <si>
    <t>Black text</t>
  </si>
  <si>
    <t>Formula — do not overwrite</t>
  </si>
  <si>
    <t>Green text</t>
  </si>
  <si>
    <t>Link pulling from another sheet</t>
  </si>
  <si>
    <t>Last updated: 03-Jul-2026   |   Version 1.0   |   Owner: Sales Operations</t>
  </si>
  <si>
    <t>Sale ID</t>
  </si>
  <si>
    <t>Date</t>
  </si>
  <si>
    <t>Month</t>
  </si>
  <si>
    <t>Region</t>
  </si>
  <si>
    <t>Sales Rep</t>
  </si>
  <si>
    <t>Category</t>
  </si>
  <si>
    <t>Product</t>
  </si>
  <si>
    <t>Customer Type</t>
  </si>
  <si>
    <t>Units Sold</t>
  </si>
  <si>
    <t>Unit Price (Rs.)</t>
  </si>
  <si>
    <t>Unit Cost (Rs.)</t>
  </si>
  <si>
    <t>Revenue (Rs.)</t>
  </si>
  <si>
    <t>Cost (Rs.)</t>
  </si>
  <si>
    <t>Profit (Rs.)</t>
  </si>
  <si>
    <t>Margin %</t>
  </si>
  <si>
    <t>SL-1038</t>
  </si>
  <si>
    <t>2026-01-01</t>
  </si>
  <si>
    <t>East</t>
  </si>
  <si>
    <t>Sourav Das</t>
  </si>
  <si>
    <t>Office Supplies</t>
  </si>
  <si>
    <t>Printer Paper (Box)</t>
  </si>
  <si>
    <t>Enterprise</t>
  </si>
  <si>
    <t>SL-1021</t>
  </si>
  <si>
    <t>2026-01-02</t>
  </si>
  <si>
    <t>North</t>
  </si>
  <si>
    <t>Amit Sharma</t>
  </si>
  <si>
    <t>Furniture</t>
  </si>
  <si>
    <t>Office Chair</t>
  </si>
  <si>
    <t>New</t>
  </si>
  <si>
    <t>SL-1145</t>
  </si>
  <si>
    <t>South</t>
  </si>
  <si>
    <t>Karthik Raman</t>
  </si>
  <si>
    <t>Accessories</t>
  </si>
  <si>
    <t>Cable Organizer</t>
  </si>
  <si>
    <t>SL-1014</t>
  </si>
  <si>
    <t>2026-01-03</t>
  </si>
  <si>
    <t>Priya Nair</t>
  </si>
  <si>
    <t>SL-1039</t>
  </si>
  <si>
    <t>Bookshelf</t>
  </si>
  <si>
    <t>SL-1154</t>
  </si>
  <si>
    <t>2026-01-06</t>
  </si>
  <si>
    <t>Desk Lamp</t>
  </si>
  <si>
    <t>SL-1128</t>
  </si>
  <si>
    <t>2026-01-09</t>
  </si>
  <si>
    <t>Software</t>
  </si>
  <si>
    <t>Antivirus License</t>
  </si>
  <si>
    <t>SL-1108</t>
  </si>
  <si>
    <t>2026-01-10</t>
  </si>
  <si>
    <t>Divya Menon</t>
  </si>
  <si>
    <t>Electronics</t>
  </si>
  <si>
    <t>Webcam HD</t>
  </si>
  <si>
    <t>SL-1126</t>
  </si>
  <si>
    <t>Ananya Roy</t>
  </si>
  <si>
    <t>Wireless Mouse</t>
  </si>
  <si>
    <t>Returning</t>
  </si>
  <si>
    <t>SL-1162</t>
  </si>
  <si>
    <t>2026-01-11</t>
  </si>
  <si>
    <t>West</t>
  </si>
  <si>
    <t>Rahul Mehta</t>
  </si>
  <si>
    <t>Whiteboard</t>
  </si>
  <si>
    <t>SL-1107</t>
  </si>
  <si>
    <t>2026-01-12</t>
  </si>
  <si>
    <t>SL-1135</t>
  </si>
  <si>
    <t>SL-1150</t>
  </si>
  <si>
    <t>Laptop Bag</t>
  </si>
  <si>
    <t>SL-1187</t>
  </si>
  <si>
    <t>Stapler Set</t>
  </si>
  <si>
    <t>SL-1218</t>
  </si>
  <si>
    <t>SL-1024</t>
  </si>
  <si>
    <t>2026-01-14</t>
  </si>
  <si>
    <t>Project Mgmt Suite</t>
  </si>
  <si>
    <t>SL-1084</t>
  </si>
  <si>
    <t>CRM License (Annual)</t>
  </si>
  <si>
    <t>SL-1142</t>
  </si>
  <si>
    <t>SL-1029</t>
  </si>
  <si>
    <t>2026-01-16</t>
  </si>
  <si>
    <t>SL-1134</t>
  </si>
  <si>
    <t>2026-01-17</t>
  </si>
  <si>
    <t>Sneha Kulkarni</t>
  </si>
  <si>
    <t>SL-1202</t>
  </si>
  <si>
    <t>SL-1131</t>
  </si>
  <si>
    <t>2026-01-18</t>
  </si>
  <si>
    <t>Standing Desk</t>
  </si>
  <si>
    <t>SL-1033</t>
  </si>
  <si>
    <t>2026-01-19</t>
  </si>
  <si>
    <t>SL-1055</t>
  </si>
  <si>
    <t>SL-1090</t>
  </si>
  <si>
    <t>2026-01-20</t>
  </si>
  <si>
    <t>SL-1153</t>
  </si>
  <si>
    <t>SL-1158</t>
  </si>
  <si>
    <t>SL-1193</t>
  </si>
  <si>
    <t>SL-1006</t>
  </si>
  <si>
    <t>2026-01-21</t>
  </si>
  <si>
    <t>SL-1007</t>
  </si>
  <si>
    <t>SL-1030</t>
  </si>
  <si>
    <t>SL-1078</t>
  </si>
  <si>
    <t>2026-01-22</t>
  </si>
  <si>
    <t>SL-1002</t>
  </si>
  <si>
    <t>2026-01-23</t>
  </si>
  <si>
    <t>SL-1095</t>
  </si>
  <si>
    <t>2026-01-24</t>
  </si>
  <si>
    <t>SL-1130</t>
  </si>
  <si>
    <t>USB-C Hub</t>
  </si>
  <si>
    <t>SL-1146</t>
  </si>
  <si>
    <t>SL-1176</t>
  </si>
  <si>
    <t>SL-1005</t>
  </si>
  <si>
    <t>2026-01-25</t>
  </si>
  <si>
    <t>SL-1163</t>
  </si>
  <si>
    <t>2026-01-27</t>
  </si>
  <si>
    <t>SL-1191</t>
  </si>
  <si>
    <t>SL-1070</t>
  </si>
  <si>
    <t>2026-01-30</t>
  </si>
  <si>
    <t>SL-1122</t>
  </si>
  <si>
    <t>SL-1020</t>
  </si>
  <si>
    <t>2026-01-31</t>
  </si>
  <si>
    <t>SL-1050</t>
  </si>
  <si>
    <t>2026-02-01</t>
  </si>
  <si>
    <t>SL-1018</t>
  </si>
  <si>
    <t>2026-02-02</t>
  </si>
  <si>
    <t>SL-1203</t>
  </si>
  <si>
    <t>SL-1120</t>
  </si>
  <si>
    <t>2026-02-03</t>
  </si>
  <si>
    <t>SL-1132</t>
  </si>
  <si>
    <t>SL-1141</t>
  </si>
  <si>
    <t>SL-1011</t>
  </si>
  <si>
    <t>2026-02-05</t>
  </si>
  <si>
    <t>SL-1056</t>
  </si>
  <si>
    <t>2026-02-07</t>
  </si>
  <si>
    <t>SL-1042</t>
  </si>
  <si>
    <t>2026-02-09</t>
  </si>
  <si>
    <t>SL-1074</t>
  </si>
  <si>
    <t>SL-1205</t>
  </si>
  <si>
    <t>SL-1200</t>
  </si>
  <si>
    <t>2026-02-10</t>
  </si>
  <si>
    <t>SL-1082</t>
  </si>
  <si>
    <t>2026-02-17</t>
  </si>
  <si>
    <t>SL-1048</t>
  </si>
  <si>
    <t>2026-02-18</t>
  </si>
  <si>
    <t>SL-1083</t>
  </si>
  <si>
    <t>2026-02-19</t>
  </si>
  <si>
    <t>SL-1003</t>
  </si>
  <si>
    <t>2026-02-20</t>
  </si>
  <si>
    <t>SL-1044</t>
  </si>
  <si>
    <t>2026-02-21</t>
  </si>
  <si>
    <t>SL-1032</t>
  </si>
  <si>
    <t>2026-02-22</t>
  </si>
  <si>
    <t>SL-1037</t>
  </si>
  <si>
    <t>SL-1008</t>
  </si>
  <si>
    <t>2026-02-23</t>
  </si>
  <si>
    <t>SL-1010</t>
  </si>
  <si>
    <t>2026-02-24</t>
  </si>
  <si>
    <t>SL-1053</t>
  </si>
  <si>
    <t>SL-1216</t>
  </si>
  <si>
    <t>2026-02-25</t>
  </si>
  <si>
    <t>SL-1143</t>
  </si>
  <si>
    <t>2026-02-27</t>
  </si>
  <si>
    <t>SL-1054</t>
  </si>
  <si>
    <t>2026-03-02</t>
  </si>
  <si>
    <t>SL-1017</t>
  </si>
  <si>
    <t>2026-03-03</t>
  </si>
  <si>
    <t>SL-1182</t>
  </si>
  <si>
    <t>SL-1155</t>
  </si>
  <si>
    <t>2026-03-04</t>
  </si>
  <si>
    <t>SL-1210</t>
  </si>
  <si>
    <t>SL-1031</t>
  </si>
  <si>
    <t>2026-03-05</t>
  </si>
  <si>
    <t>SL-1057</t>
  </si>
  <si>
    <t>SL-1214</t>
  </si>
  <si>
    <t>SL-1067</t>
  </si>
  <si>
    <t>2026-03-06</t>
  </si>
  <si>
    <t>SL-1151</t>
  </si>
  <si>
    <t>2026-03-07</t>
  </si>
  <si>
    <t>SL-1077</t>
  </si>
  <si>
    <t>2026-03-08</t>
  </si>
  <si>
    <t>SL-1015</t>
  </si>
  <si>
    <t>2026-03-09</t>
  </si>
  <si>
    <t>SL-1034</t>
  </si>
  <si>
    <t>Bluetooth Speaker</t>
  </si>
  <si>
    <t>SL-1036</t>
  </si>
  <si>
    <t>SL-1009</t>
  </si>
  <si>
    <t>2026-03-11</t>
  </si>
  <si>
    <t>SL-1022</t>
  </si>
  <si>
    <t>2026-03-13</t>
  </si>
  <si>
    <t>SL-1045</t>
  </si>
  <si>
    <t>SL-1105</t>
  </si>
  <si>
    <t>2026-03-14</t>
  </si>
  <si>
    <t>SL-1172</t>
  </si>
  <si>
    <t>SL-1206</t>
  </si>
  <si>
    <t>SL-1028</t>
  </si>
  <si>
    <t>2026-03-15</t>
  </si>
  <si>
    <t>SL-1052</t>
  </si>
  <si>
    <t>SL-1091</t>
  </si>
  <si>
    <t>SL-1111</t>
  </si>
  <si>
    <t>SL-1115</t>
  </si>
  <si>
    <t>SL-1161</t>
  </si>
  <si>
    <t>SL-1103</t>
  </si>
  <si>
    <t>2026-03-16</t>
  </si>
  <si>
    <t>SL-1112</t>
  </si>
  <si>
    <t>2026-03-18</t>
  </si>
  <si>
    <t>SL-1087</t>
  </si>
  <si>
    <t>2026-03-19</t>
  </si>
  <si>
    <t>SL-1081</t>
  </si>
  <si>
    <t>2026-03-20</t>
  </si>
  <si>
    <t>SL-1060</t>
  </si>
  <si>
    <t>2026-03-23</t>
  </si>
  <si>
    <t>SL-1066</t>
  </si>
  <si>
    <t>2026-03-25</t>
  </si>
  <si>
    <t>SL-1125</t>
  </si>
  <si>
    <t>SL-1046</t>
  </si>
  <si>
    <t>2026-03-26</t>
  </si>
  <si>
    <t>SL-1168</t>
  </si>
  <si>
    <t>SL-1156</t>
  </si>
  <si>
    <t>2026-03-27</t>
  </si>
  <si>
    <t>SL-1178</t>
  </si>
  <si>
    <t>SL-1185</t>
  </si>
  <si>
    <t>SL-1208</t>
  </si>
  <si>
    <t>2026-03-28</t>
  </si>
  <si>
    <t>SL-1073</t>
  </si>
  <si>
    <t>2026-03-29</t>
  </si>
  <si>
    <t>SL-1169</t>
  </si>
  <si>
    <t>SL-1149</t>
  </si>
  <si>
    <t>2026-03-30</t>
  </si>
  <si>
    <t>SL-1097</t>
  </si>
  <si>
    <t>2026-03-31</t>
  </si>
  <si>
    <t>SL-1157</t>
  </si>
  <si>
    <t>SL-1192</t>
  </si>
  <si>
    <t>SL-1121</t>
  </si>
  <si>
    <t>2026-04-04</t>
  </si>
  <si>
    <t>SL-1123</t>
  </si>
  <si>
    <t>SL-1196</t>
  </si>
  <si>
    <t>SL-1080</t>
  </si>
  <si>
    <t>2026-04-05</t>
  </si>
  <si>
    <t>SL-1127</t>
  </si>
  <si>
    <t>SL-1129</t>
  </si>
  <si>
    <t>SL-1173</t>
  </si>
  <si>
    <t>SL-1184</t>
  </si>
  <si>
    <t>2026-04-06</t>
  </si>
  <si>
    <t>SL-1220</t>
  </si>
  <si>
    <t>SL-1106</t>
  </si>
  <si>
    <t>2026-04-07</t>
  </si>
  <si>
    <t>SL-1088</t>
  </si>
  <si>
    <t>2026-04-08</t>
  </si>
  <si>
    <t>SL-1177</t>
  </si>
  <si>
    <t>2026-04-09</t>
  </si>
  <si>
    <t>SL-1071</t>
  </si>
  <si>
    <t>2026-04-12</t>
  </si>
  <si>
    <t>SL-1086</t>
  </si>
  <si>
    <t>2026-04-13</t>
  </si>
  <si>
    <t>SL-1139</t>
  </si>
  <si>
    <t>SL-1212</t>
  </si>
  <si>
    <t>SL-1099</t>
  </si>
  <si>
    <t>2026-04-14</t>
  </si>
  <si>
    <t>SL-1102</t>
  </si>
  <si>
    <t>2026-04-15</t>
  </si>
  <si>
    <t>SL-1109</t>
  </si>
  <si>
    <t>SL-1061</t>
  </si>
  <si>
    <t>2026-04-17</t>
  </si>
  <si>
    <t>SL-1051</t>
  </si>
  <si>
    <t>2026-04-18</t>
  </si>
  <si>
    <t>SL-1092</t>
  </si>
  <si>
    <t>2026-04-19</t>
  </si>
  <si>
    <t>SL-1040</t>
  </si>
  <si>
    <t>2026-04-21</t>
  </si>
  <si>
    <t>SL-1047</t>
  </si>
  <si>
    <t>2026-04-22</t>
  </si>
  <si>
    <t>SL-1075</t>
  </si>
  <si>
    <t>SL-1189</t>
  </si>
  <si>
    <t>SL-1085</t>
  </si>
  <si>
    <t>2026-04-23</t>
  </si>
  <si>
    <t>SL-1026</t>
  </si>
  <si>
    <t>2026-04-24</t>
  </si>
  <si>
    <t>SL-1096</t>
  </si>
  <si>
    <t>SL-1148</t>
  </si>
  <si>
    <t>SL-1199</t>
  </si>
  <si>
    <t>SL-1079</t>
  </si>
  <si>
    <t>2026-04-25</t>
  </si>
  <si>
    <t>SL-1213</t>
  </si>
  <si>
    <t>2026-04-26</t>
  </si>
  <si>
    <t>SL-1186</t>
  </si>
  <si>
    <t>2026-04-29</t>
  </si>
  <si>
    <t>SL-1211</t>
  </si>
  <si>
    <t>SL-1215</t>
  </si>
  <si>
    <t>2026-04-30</t>
  </si>
  <si>
    <t>SL-1023</t>
  </si>
  <si>
    <t>2026-05-02</t>
  </si>
  <si>
    <t>SL-1069</t>
  </si>
  <si>
    <t>SL-1027</t>
  </si>
  <si>
    <t>2026-05-04</t>
  </si>
  <si>
    <t>SL-1101</t>
  </si>
  <si>
    <t>2026-05-05</t>
  </si>
  <si>
    <t>SL-1136</t>
  </si>
  <si>
    <t>2026-05-06</t>
  </si>
  <si>
    <t>SL-1098</t>
  </si>
  <si>
    <t>2026-05-07</t>
  </si>
  <si>
    <t>SL-1201</t>
  </si>
  <si>
    <t>SL-1114</t>
  </si>
  <si>
    <t>2026-05-08</t>
  </si>
  <si>
    <t>SL-1170</t>
  </si>
  <si>
    <t>2026-05-10</t>
  </si>
  <si>
    <t>SL-1219</t>
  </si>
  <si>
    <t>SL-1012</t>
  </si>
  <si>
    <t>2026-05-11</t>
  </si>
  <si>
    <t>SL-1175</t>
  </si>
  <si>
    <t>2026-05-13</t>
  </si>
  <si>
    <t>SL-1190</t>
  </si>
  <si>
    <t>SL-1197</t>
  </si>
  <si>
    <t>SL-1164</t>
  </si>
  <si>
    <t>2026-05-15</t>
  </si>
  <si>
    <t>SL-1113</t>
  </si>
  <si>
    <t>2026-05-16</t>
  </si>
  <si>
    <t>SL-1152</t>
  </si>
  <si>
    <t>2026-05-17</t>
  </si>
  <si>
    <t>SL-1025</t>
  </si>
  <si>
    <t>2026-05-18</t>
  </si>
  <si>
    <t>SL-1063</t>
  </si>
  <si>
    <t>SL-1217</t>
  </si>
  <si>
    <t>SL-1016</t>
  </si>
  <si>
    <t>2026-05-19</t>
  </si>
  <si>
    <t>SL-1019</t>
  </si>
  <si>
    <t>SL-1094</t>
  </si>
  <si>
    <t>SL-1180</t>
  </si>
  <si>
    <t>2026-05-21</t>
  </si>
  <si>
    <t>SL-1144</t>
  </si>
  <si>
    <t>2026-05-24</t>
  </si>
  <si>
    <t>SL-1118</t>
  </si>
  <si>
    <t>2026-05-25</t>
  </si>
  <si>
    <t>SL-1076</t>
  </si>
  <si>
    <t>2026-05-26</t>
  </si>
  <si>
    <t>SL-1147</t>
  </si>
  <si>
    <t>SL-1195</t>
  </si>
  <si>
    <t>SL-1117</t>
  </si>
  <si>
    <t>2026-05-27</t>
  </si>
  <si>
    <t>SL-1209</t>
  </si>
  <si>
    <t>SL-1062</t>
  </si>
  <si>
    <t>2026-05-30</t>
  </si>
  <si>
    <t>SL-1133</t>
  </si>
  <si>
    <t>2026-05-31</t>
  </si>
  <si>
    <t>SL-1065</t>
  </si>
  <si>
    <t>2026-06-01</t>
  </si>
  <si>
    <t>SL-1160</t>
  </si>
  <si>
    <t>SL-1013</t>
  </si>
  <si>
    <t>2026-06-02</t>
  </si>
  <si>
    <t>SL-1093</t>
  </si>
  <si>
    <t>SL-1104</t>
  </si>
  <si>
    <t>2026-06-03</t>
  </si>
  <si>
    <t>SL-1174</t>
  </si>
  <si>
    <t>2026-06-04</t>
  </si>
  <si>
    <t>SL-1058</t>
  </si>
  <si>
    <t>2026-06-06</t>
  </si>
  <si>
    <t>SL-1089</t>
  </si>
  <si>
    <t>SL-1207</t>
  </si>
  <si>
    <t>2026-06-07</t>
  </si>
  <si>
    <t>SL-1119</t>
  </si>
  <si>
    <t>2026-06-08</t>
  </si>
  <si>
    <t>SL-1171</t>
  </si>
  <si>
    <t>2026-06-09</t>
  </si>
  <si>
    <t>SL-1181</t>
  </si>
  <si>
    <t>SL-1100</t>
  </si>
  <si>
    <t>2026-06-10</t>
  </si>
  <si>
    <t>SL-1165</t>
  </si>
  <si>
    <t>2026-06-11</t>
  </si>
  <si>
    <t>SL-1137</t>
  </si>
  <si>
    <t>2026-06-12</t>
  </si>
  <si>
    <t>SL-1001</t>
  </si>
  <si>
    <t>2026-06-13</t>
  </si>
  <si>
    <t>SL-1059</t>
  </si>
  <si>
    <t>SL-1204</t>
  </si>
  <si>
    <t>SL-1159</t>
  </si>
  <si>
    <t>2026-06-14</t>
  </si>
  <si>
    <t>SL-1188</t>
  </si>
  <si>
    <t>2026-06-15</t>
  </si>
  <si>
    <t>SL-1068</t>
  </si>
  <si>
    <t>2026-06-16</t>
  </si>
  <si>
    <t>SL-1166</t>
  </si>
  <si>
    <t>2026-06-18</t>
  </si>
  <si>
    <t>SL-1167</t>
  </si>
  <si>
    <t>2026-06-19</t>
  </si>
  <si>
    <t>SL-1183</t>
  </si>
  <si>
    <t>2026-06-20</t>
  </si>
  <si>
    <t>SL-1043</t>
  </si>
  <si>
    <t>2026-06-21</t>
  </si>
  <si>
    <t>SL-1049</t>
  </si>
  <si>
    <t>SL-1110</t>
  </si>
  <si>
    <t>2026-06-22</t>
  </si>
  <si>
    <t>SL-1124</t>
  </si>
  <si>
    <t>SL-1064</t>
  </si>
  <si>
    <t>2026-06-23</t>
  </si>
  <si>
    <t>SL-1194</t>
  </si>
  <si>
    <t>SL-1041</t>
  </si>
  <si>
    <t>2026-06-24</t>
  </si>
  <si>
    <t>SL-1072</t>
  </si>
  <si>
    <t>2026-06-25</t>
  </si>
  <si>
    <t>SL-1140</t>
  </si>
  <si>
    <t>SL-1116</t>
  </si>
  <si>
    <t>2026-06-26</t>
  </si>
  <si>
    <t>SL-1198</t>
  </si>
  <si>
    <t>2026-06-27</t>
  </si>
  <si>
    <t>SL-1004</t>
  </si>
  <si>
    <t>2026-06-28</t>
  </si>
  <si>
    <t>SL-1138</t>
  </si>
  <si>
    <t>2026-06-29</t>
  </si>
  <si>
    <t>SL-1035</t>
  </si>
  <si>
    <t>2026-06-30</t>
  </si>
  <si>
    <t>SL-1179</t>
  </si>
  <si>
    <t xml:space="preserve">  Monthly Revenue Summary</t>
  </si>
  <si>
    <t>Orders</t>
  </si>
  <si>
    <t>Avg Order Value (Rs.)</t>
  </si>
  <si>
    <t>Jan-26</t>
  </si>
  <si>
    <t>Feb-26</t>
  </si>
  <si>
    <t>Mar-26</t>
  </si>
  <si>
    <t>Apr-26</t>
  </si>
  <si>
    <t>May-26</t>
  </si>
  <si>
    <t>Jun-26</t>
  </si>
  <si>
    <t>Total</t>
  </si>
  <si>
    <t xml:space="preserve">  Regional Performance Summary</t>
  </si>
  <si>
    <t>% of Total Revenue</t>
  </si>
  <si>
    <t xml:space="preserve">  Product Category Performance</t>
  </si>
  <si>
    <t xml:space="preserve">  Sales Rep Performance Scorecard</t>
  </si>
  <si>
    <t>Avg Deal Size (Rs.)</t>
  </si>
  <si>
    <t>Rank</t>
  </si>
  <si>
    <t xml:space="preserve">  Monthly Targets vs. Actual Revenue</t>
  </si>
  <si>
    <t>Target Revenue (Rs.)</t>
  </si>
  <si>
    <t>Actual Revenue (Rs.)</t>
  </si>
  <si>
    <t>Variance (Rs.)</t>
  </si>
  <si>
    <t>Achievement %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</si>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</sst>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Rs. &quot;#,##0;&quot;(Rs. &quot;#,##0\)"/>
    <numFmt numFmtId="165" formatCode="0.0%"/>
    <numFmt numFmtId="166" formatCode="dd\-mmm\-yyyy"/>
    <numFmt numFmtId="167" formatCode="#,##0;\(#,##0\);\-"/>
    <numFmt numFmtId="168" formatCode="&quot;Rs. &quot;#,##0;&quot;(Rs. &quot;#,##0\);\-"/>
    <numFmt numFmtId="169" formatCode="0.0%;\(0.0%\);\-"/>
  </numFmts>
  <fonts count="20" x14ac:knownFonts="1">
    <font>
      <sz val="11"/>
      <color theme="1"/>
      <name val="Calibri"/>
      <family val="2"/>
      <charset val="1"/>
    </font>
    <font>
      <b/>
      <sz val="20"/>
      <color rgb="FFFFFFFF"/>
      <name val="Calibri"/>
      <charset val="1"/>
    </font>
    <font>
      <i/>
      <sz val="10"/>
      <color rgb="FF595959"/>
      <name val="Calibri"/>
      <charset val="1"/>
    </font>
    <font>
      <b/>
      <sz val="10"/>
      <color rgb="FF333333"/>
      <name val="Calibri"/>
      <charset val="1"/>
    </font>
    <font>
      <b/>
      <sz val="17"/>
      <color rgb="FF1E2761"/>
      <name val="Calibri"/>
      <charset val="1"/>
    </font>
    <font>
      <b/>
      <sz val="13"/>
      <color rgb="FF1E2761"/>
      <name val="Calibri"/>
      <charset val="1"/>
    </font>
    <font>
      <sz val="10"/>
      <color rgb="FF333333"/>
      <name val="Calibri"/>
      <charset val="1"/>
    </font>
    <font>
      <b/>
      <sz val="11"/>
      <color rgb="FF1E2761"/>
      <name val="Calibri"/>
      <charset val="1"/>
    </font>
    <font>
      <b/>
      <sz val="18"/>
      <color rgb="FFFFFFFF"/>
      <name val="Calibri"/>
      <charset val="1"/>
    </font>
    <font>
      <b/>
      <sz val="12"/>
      <color rgb="FF1E2761"/>
      <name val="Calibri"/>
      <charset val="1"/>
    </font>
    <font>
      <b/>
      <sz val="11"/>
      <color rgb="FFFFFFFF"/>
      <name val="Calibri"/>
      <charset val="1"/>
    </font>
    <font>
      <b/>
      <sz val="10"/>
      <name val="Calibri"/>
      <charset val="1"/>
    </font>
    <font>
      <b/>
      <sz val="10"/>
      <color rgb="FF0000FF"/>
      <name val="Calibri"/>
      <charset val="1"/>
    </font>
    <font>
      <b/>
      <sz val="10"/>
      <color rgb="FF000000"/>
      <name val="Calibri"/>
      <charset val="1"/>
    </font>
    <font>
      <b/>
      <sz val="10"/>
      <color rgb="FF0B8043"/>
      <name val="Calibri"/>
      <charset val="1"/>
    </font>
    <font>
      <i/>
      <sz val="9"/>
      <color rgb="FF808080"/>
      <name val="Calibri"/>
      <charset val="1"/>
    </font>
    <font>
      <sz val="10"/>
      <color rgb="FF0000FF"/>
      <name val="Calibri"/>
      <charset val="1"/>
    </font>
    <font>
      <sz val="10"/>
      <color rgb="FF000000"/>
      <name val="Calibri"/>
      <charset val="1"/>
    </font>
    <font>
      <sz val="10"/>
      <color rgb="FF0B8043"/>
      <name val="Calibri"/>
      <charset val="1"/>
    </font>
    <font>
      <b/>
      <sz val="11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0F4FC"/>
        <bgColor rgb="FFF2F2F2"/>
      </patternFill>
    </fill>
    <fill>
      <patternFill patternType="solid">
        <fgColor rgb="FFF2F2F2"/>
        <bgColor rgb="FFF0F4FC"/>
      </patternFill>
    </fill>
  </fills>
  <borders count="4">
    <border>
      <left/>
      <right/>
      <top/>
      <bottom/>
      <diagonal/>
    </border>
    <border>
      <left style="thin">
        <color rgb="FFB7C6E8"/>
      </left>
      <right style="thin">
        <color rgb="FFB7C6E8"/>
      </right>
      <top style="thin">
        <color rgb="FFB7C6E8"/>
      </top>
      <bottom style="thin">
        <color rgb="FFB7C6E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6" fillId="0" borderId="0" xfId="0" applyFont="1"/>
    <xf numFmtId="0" fontId="6" fillId="0" borderId="0" xfId="0" applyFont="1" applyAlignment="1">
      <alignment vertical="top" wrapText="1"/>
    </xf>
    <xf numFmtId="0" fontId="8" fillId="2" borderId="0" xfId="0" applyFont="1" applyFill="1" applyAlignment="1">
      <alignment horizontal="left" vertical="center" indent="1"/>
    </xf>
    <xf numFmtId="0" fontId="5" fillId="0" borderId="0" xfId="0" applyFont="1"/>
    <xf numFmtId="3" fontId="4" fillId="3" borderId="1" xfId="0" applyNumberFormat="1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0" fillId="3" borderId="1" xfId="0" applyFill="1" applyBorder="1"/>
    <xf numFmtId="0" fontId="6" fillId="0" borderId="0" xfId="0" applyFont="1"/>
    <xf numFmtId="164" fontId="7" fillId="0" borderId="0" xfId="0" applyNumberFormat="1" applyFont="1"/>
    <xf numFmtId="165" fontId="7" fillId="0" borderId="0" xfId="0" applyNumberFormat="1" applyFont="1"/>
    <xf numFmtId="0" fontId="9" fillId="0" borderId="0" xfId="0" applyFont="1"/>
    <xf numFmtId="0" fontId="10" fillId="2" borderId="2" xfId="0" applyFont="1" applyFill="1" applyBorder="1" applyAlignment="1">
      <alignment horizontal="center" vertical="center" wrapText="1"/>
    </xf>
    <xf numFmtId="0" fontId="11" fillId="0" borderId="2" xfId="0" applyFont="1" applyBorder="1"/>
    <xf numFmtId="0" fontId="6" fillId="0" borderId="2" xfId="0" applyFont="1" applyBorder="1" applyAlignment="1">
      <alignment wrapText="1"/>
    </xf>
    <xf numFmtId="0" fontId="6" fillId="0" borderId="2" xfId="0" applyFont="1" applyBorder="1"/>
    <xf numFmtId="0" fontId="11" fillId="4" borderId="2" xfId="0" applyFont="1" applyFill="1" applyBorder="1"/>
    <xf numFmtId="0" fontId="6" fillId="4" borderId="2" xfId="0" applyFont="1" applyFill="1" applyBorder="1" applyAlignment="1">
      <alignment wrapText="1"/>
    </xf>
    <xf numFmtId="0" fontId="6" fillId="4" borderId="2" xfId="0" applyFont="1" applyFill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2" xfId="0" applyFont="1" applyBorder="1"/>
    <xf numFmtId="166" fontId="16" fillId="0" borderId="2" xfId="0" applyNumberFormat="1" applyFont="1" applyBorder="1"/>
    <xf numFmtId="0" fontId="17" fillId="0" borderId="2" xfId="0" applyFont="1" applyBorder="1"/>
    <xf numFmtId="167" fontId="16" fillId="0" borderId="2" xfId="0" applyNumberFormat="1" applyFont="1" applyBorder="1"/>
    <xf numFmtId="168" fontId="16" fillId="0" borderId="2" xfId="0" applyNumberFormat="1" applyFont="1" applyBorder="1"/>
    <xf numFmtId="168" fontId="17" fillId="0" borderId="2" xfId="0" applyNumberFormat="1" applyFont="1" applyBorder="1"/>
    <xf numFmtId="169" fontId="17" fillId="0" borderId="2" xfId="0" applyNumberFormat="1" applyFont="1" applyBorder="1"/>
    <xf numFmtId="0" fontId="3" fillId="4" borderId="2" xfId="0" applyFont="1" applyFill="1" applyBorder="1"/>
    <xf numFmtId="168" fontId="18" fillId="4" borderId="2" xfId="0" applyNumberFormat="1" applyFont="1" applyFill="1" applyBorder="1"/>
    <xf numFmtId="168" fontId="17" fillId="4" borderId="2" xfId="0" applyNumberFormat="1" applyFont="1" applyFill="1" applyBorder="1"/>
    <xf numFmtId="169" fontId="17" fillId="4" borderId="2" xfId="0" applyNumberFormat="1" applyFont="1" applyFill="1" applyBorder="1"/>
    <xf numFmtId="167" fontId="18" fillId="4" borderId="2" xfId="0" applyNumberFormat="1" applyFont="1" applyFill="1" applyBorder="1"/>
    <xf numFmtId="0" fontId="3" fillId="0" borderId="2" xfId="0" applyFont="1" applyBorder="1"/>
    <xf numFmtId="168" fontId="18" fillId="0" borderId="2" xfId="0" applyNumberFormat="1" applyFont="1" applyBorder="1"/>
    <xf numFmtId="167" fontId="18" fillId="0" borderId="2" xfId="0" applyNumberFormat="1" applyFont="1" applyBorder="1"/>
    <xf numFmtId="0" fontId="11" fillId="0" borderId="3" xfId="0" applyFont="1" applyBorder="1"/>
    <xf numFmtId="168" fontId="11" fillId="0" borderId="3" xfId="0" applyNumberFormat="1" applyFont="1" applyBorder="1"/>
    <xf numFmtId="169" fontId="11" fillId="0" borderId="3" xfId="0" applyNumberFormat="1" applyFont="1" applyBorder="1"/>
    <xf numFmtId="167" fontId="11" fillId="0" borderId="3" xfId="0" applyNumberFormat="1" applyFont="1" applyBorder="1"/>
    <xf numFmtId="0" fontId="17" fillId="4" borderId="2" xfId="0" applyFont="1" applyFill="1" applyBorder="1" applyAlignment="1">
      <alignment horizontal="center"/>
    </xf>
    <xf numFmtId="0" fontId="17" fillId="0" borderId="2" xfId="0" applyFont="1" applyBorder="1" applyAlignment="1">
      <alignment horizontal="center"/>
    </xf>
    <xf numFmtId="168" fontId="16" fillId="4" borderId="2" xfId="0" applyNumberFormat="1" applyFont="1" applyFill="1" applyBorder="1"/>
    <xf numFmtId="168" fontId="19" fillId="0" borderId="3" xfId="0" applyNumberFormat="1" applyFont="1" applyBorder="1"/>
    <xf numFmtId="169" fontId="19" fillId="0" borderId="3" xfId="0" applyNumberFormat="1" applyFont="1" applyBorder="1"/>
    <xf numFmtId="0" fontId="0" fillId="0" borderId="3" xfId="0" applyBorder="1"/>
  </cellXfs>
  <cellStyles count="1">
    <cellStyle name="Normal" xfId="0" builtinId="0"/>
  </cellStyles>
  <dxfs count="4">
    <dxf>
      <font>
        <b/>
        <color rgb="FFC0392B"/>
      </font>
      <fill>
        <patternFill>
          <bgColor rgb="FFFADBD8"/>
        </patternFill>
      </fill>
    </dxf>
    <dxf>
      <font>
        <b/>
        <color rgb="FF0B8043"/>
      </font>
      <fill>
        <patternFill>
          <bgColor rgb="FFD5F5E3"/>
        </patternFill>
      </fill>
    </dxf>
    <dxf>
      <fill>
        <patternFill>
          <bgColor rgb="FFD5F5E3"/>
        </patternFill>
      </fill>
    </dxf>
    <dxf>
      <fill>
        <patternFill>
          <bgColor rgb="FFFADBD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8043"/>
      <rgbColor rgb="FFBFBFBF"/>
      <rgbColor rgb="FF808080"/>
      <rgbColor rgb="FF9999FF"/>
      <rgbColor rgb="FFC0504D"/>
      <rgbColor rgb="FFF9F9F9"/>
      <rgbColor rgb="FFF0F4FC"/>
      <rgbColor rgb="FF660066"/>
      <rgbColor rgb="FFFF8080"/>
      <rgbColor rgb="FF0066CC"/>
      <rgbColor rgb="FFB7C6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FFF99"/>
      <rgbColor rgb="FFD9D9D9"/>
      <rgbColor rgb="FFFF99CC"/>
      <rgbColor rgb="FFCC99FF"/>
      <rgbColor rgb="FFFADBD8"/>
      <rgbColor rgb="FF4A7EBB"/>
      <rgbColor rgb="FF33CCCC"/>
      <rgbColor rgb="FF9BBB59"/>
      <rgbColor rgb="FFFFCC00"/>
      <rgbColor rgb="FFFF9900"/>
      <rgbColor rgb="FFFF6600"/>
      <rgbColor rgb="FF8064A2"/>
      <rgbColor rgb="FF878787"/>
      <rgbColor rgb="FF1E2761"/>
      <rgbColor rgb="FF4F81BD"/>
      <rgbColor rgb="FF003300"/>
      <rgbColor rgb="FF333300"/>
      <rgbColor rgb="FFC0392B"/>
      <rgbColor rgb="FF993366"/>
      <rgbColor rgb="FF59595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Monthly_Summary!$B$4</c:f>
              <c:strCache>
                <c:ptCount val="1"/>
                <c:pt idx="0">
                  <c:v>Revenue (Rs.)</c:v>
                </c:pt>
              </c:strCache>
            </c:strRef>
          </c:tx>
          <c:spPr>
            <a:ln w="248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Monthly_Summary!$A$5:$A$10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Monthly_Summary!$B$5:$B$10</c:f>
              <c:numCache>
                <c:formatCode>"Rs. "#,##0;"(Rs. "#,##0\);\-</c:formatCode>
                <c:ptCount val="6"/>
                <c:pt idx="0">
                  <c:v>918413</c:v>
                </c:pt>
                <c:pt idx="1">
                  <c:v>546647</c:v>
                </c:pt>
                <c:pt idx="2">
                  <c:v>857484</c:v>
                </c:pt>
                <c:pt idx="3">
                  <c:v>596093</c:v>
                </c:pt>
                <c:pt idx="4">
                  <c:v>849525</c:v>
                </c:pt>
                <c:pt idx="5">
                  <c:v>860824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D5-424E-B204-C1A6E677D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5104721"/>
        <c:axId val="35138583"/>
      </c:lineChart>
      <c:catAx>
        <c:axId val="851047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138583"/>
        <c:crosses val="autoZero"/>
        <c:auto val="1"/>
        <c:lblAlgn val="ctr"/>
        <c:lblOffset val="100"/>
        <c:noMultiLvlLbl val="0"/>
      </c:catAx>
      <c:valAx>
        <c:axId val="351385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s. &quot;#,##0;&quot;(Rs.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1047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Regional_Summary!$B$4</c:f>
              <c:strCache>
                <c:ptCount val="1"/>
                <c:pt idx="0">
                  <c:v>Revenue (Rs.)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E57-4AC6-AD97-4F358D436EB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E57-4AC6-AD97-4F358D436EB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E57-4AC6-AD97-4F358D436EBC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E57-4AC6-AD97-4F358D436EB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5E57-4AC6-AD97-4F358D436EB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5E57-4AC6-AD97-4F358D436EB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5E57-4AC6-AD97-4F358D436EBC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5E57-4AC6-AD97-4F358D436E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Regional_Summary!$A$5:$A$8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Regional_Summary!$B$5:$B$8</c:f>
              <c:numCache>
                <c:formatCode>"Rs. "#,##0;"(Rs. "#,##0\);\-</c:formatCode>
                <c:ptCount val="4"/>
                <c:pt idx="0">
                  <c:v>1082994</c:v>
                </c:pt>
                <c:pt idx="1">
                  <c:v>1310998</c:v>
                </c:pt>
                <c:pt idx="2">
                  <c:v>1065360</c:v>
                </c:pt>
                <c:pt idx="3">
                  <c:v>1169634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E57-4AC6-AD97-4F358D436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Category_Summary!$B$4</c:f>
              <c:strCache>
                <c:ptCount val="1"/>
                <c:pt idx="0">
                  <c:v>Revenue (Rs.)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Category_Summary!$A$5:$A$9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Software</c:v>
                </c:pt>
              </c:strCache>
            </c:strRef>
          </c:cat>
          <c:val>
            <c:numRef>
              <c:f>Category_Summary!$B$5:$B$9</c:f>
              <c:numCache>
                <c:formatCode>"Rs. "#,##0;"(Rs. "#,##0\);\-</c:formatCode>
                <c:ptCount val="5"/>
                <c:pt idx="0">
                  <c:v>184482</c:v>
                </c:pt>
                <c:pt idx="1">
                  <c:v>326195</c:v>
                </c:pt>
                <c:pt idx="2">
                  <c:v>1090280</c:v>
                </c:pt>
                <c:pt idx="3">
                  <c:v>198149</c:v>
                </c:pt>
                <c:pt idx="4">
                  <c:v>2829880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6-43BD-BC86-4F4078010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900231"/>
        <c:axId val="67768098"/>
      </c:barChart>
      <c:catAx>
        <c:axId val="56900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768098"/>
        <c:crosses val="autoZero"/>
        <c:auto val="1"/>
        <c:lblAlgn val="ctr"/>
        <c:lblOffset val="100"/>
        <c:noMultiLvlLbl val="0"/>
      </c:catAx>
      <c:valAx>
        <c:axId val="677680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s. &quot;#,##0;&quot;(Rs.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9002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Sales Rep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Rep_Performance!$C$4</c:f>
              <c:strCache>
                <c:ptCount val="1"/>
                <c:pt idx="0">
                  <c:v>Revenue (Rs.)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Rep_Performance!$A$5:$A$12</c:f>
              <c:strCache>
                <c:ptCount val="8"/>
                <c:pt idx="0">
                  <c:v>Amit Sharma</c:v>
                </c:pt>
                <c:pt idx="1">
                  <c:v>Ananya Roy</c:v>
                </c:pt>
                <c:pt idx="2">
                  <c:v>Divya Menon</c:v>
                </c:pt>
                <c:pt idx="3">
                  <c:v>Karthik Raman</c:v>
                </c:pt>
                <c:pt idx="4">
                  <c:v>Priya Nair</c:v>
                </c:pt>
                <c:pt idx="5">
                  <c:v>Rahul Mehta</c:v>
                </c:pt>
                <c:pt idx="6">
                  <c:v>Sneha Kulkarni</c:v>
                </c:pt>
                <c:pt idx="7">
                  <c:v>Sourav Das</c:v>
                </c:pt>
              </c:strCache>
            </c:strRef>
          </c:cat>
          <c:val>
            <c:numRef>
              <c:f>Rep_Performance!$C$5:$C$12</c:f>
              <c:numCache>
                <c:formatCode>"Rs. "#,##0;"(Rs. "#,##0\);\-</c:formatCode>
                <c:ptCount val="8"/>
                <c:pt idx="0">
                  <c:v>689289</c:v>
                </c:pt>
                <c:pt idx="1">
                  <c:v>450232</c:v>
                </c:pt>
                <c:pt idx="2">
                  <c:v>559756</c:v>
                </c:pt>
                <c:pt idx="3">
                  <c:v>505604</c:v>
                </c:pt>
                <c:pt idx="4">
                  <c:v>621709</c:v>
                </c:pt>
                <c:pt idx="5">
                  <c:v>858777</c:v>
                </c:pt>
                <c:pt idx="6">
                  <c:v>310857</c:v>
                </c:pt>
                <c:pt idx="7">
                  <c:v>632762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0-46C8-96C9-EEB40E895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85604"/>
        <c:axId val="51122333"/>
      </c:barChart>
      <c:catAx>
        <c:axId val="493856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122333"/>
        <c:crosses val="autoZero"/>
        <c:auto val="1"/>
        <c:lblAlgn val="ctr"/>
        <c:lblOffset val="100"/>
        <c:noMultiLvlLbl val="0"/>
      </c:catAx>
      <c:valAx>
        <c:axId val="5112233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s. &quot;#,##0;&quot;(Rs.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3856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Monthly_Summary!$B$4</c:f>
              <c:strCache>
                <c:ptCount val="1"/>
                <c:pt idx="0">
                  <c:v>Revenue (Rs.)</c:v>
                </c:pt>
              </c:strCache>
            </c:strRef>
          </c:tx>
          <c:spPr>
            <a:ln w="248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Monthly_Summary!$A$5:$A$10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Monthly_Summary!$B$5:$B$10</c:f>
              <c:numCache>
                <c:formatCode>"Rs. "#,##0;"(Rs. "#,##0\);\-</c:formatCode>
                <c:ptCount val="6"/>
                <c:pt idx="0">
                  <c:v>918413</c:v>
                </c:pt>
                <c:pt idx="1">
                  <c:v>546647</c:v>
                </c:pt>
                <c:pt idx="2">
                  <c:v>857484</c:v>
                </c:pt>
                <c:pt idx="3">
                  <c:v>596093</c:v>
                </c:pt>
                <c:pt idx="4">
                  <c:v>849525</c:v>
                </c:pt>
                <c:pt idx="5">
                  <c:v>860824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F7-4624-BF28-29EA030D5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768529"/>
        <c:axId val="59859571"/>
      </c:lineChart>
      <c:catAx>
        <c:axId val="97685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859571"/>
        <c:crosses val="autoZero"/>
        <c:auto val="1"/>
        <c:lblAlgn val="ctr"/>
        <c:lblOffset val="100"/>
        <c:noMultiLvlLbl val="0"/>
      </c:catAx>
      <c:valAx>
        <c:axId val="598595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s. &quot;#,##0;&quot;(Rs.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685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Regional_Summary!$B$4</c:f>
              <c:strCache>
                <c:ptCount val="1"/>
                <c:pt idx="0">
                  <c:v>Revenue (Rs.)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C727-4B85-AB26-46E056AA5C6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727-4B85-AB26-46E056AA5C6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727-4B85-AB26-46E056AA5C6E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727-4B85-AB26-46E056AA5C6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C727-4B85-AB26-46E056AA5C6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C727-4B85-AB26-46E056AA5C6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C727-4B85-AB26-46E056AA5C6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C727-4B85-AB26-46E056AA5C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Regional_Summary!$A$5:$A$8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Regional_Summary!$B$5:$B$8</c:f>
              <c:numCache>
                <c:formatCode>"Rs. "#,##0;"(Rs. "#,##0\);\-</c:formatCode>
                <c:ptCount val="4"/>
                <c:pt idx="0">
                  <c:v>1082994</c:v>
                </c:pt>
                <c:pt idx="1">
                  <c:v>1310998</c:v>
                </c:pt>
                <c:pt idx="2">
                  <c:v>1065360</c:v>
                </c:pt>
                <c:pt idx="3">
                  <c:v>1169634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27-4B85-AB26-46E056AA5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Category_Summary!$B$4</c:f>
              <c:strCache>
                <c:ptCount val="1"/>
                <c:pt idx="0">
                  <c:v>Revenue (Rs.)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Category_Summary!$A$5:$A$9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Software</c:v>
                </c:pt>
              </c:strCache>
            </c:strRef>
          </c:cat>
          <c:val>
            <c:numRef>
              <c:f>Category_Summary!$B$5:$B$9</c:f>
              <c:numCache>
                <c:formatCode>"Rs. "#,##0;"(Rs. "#,##0\);\-</c:formatCode>
                <c:ptCount val="5"/>
                <c:pt idx="0">
                  <c:v>184482</c:v>
                </c:pt>
                <c:pt idx="1">
                  <c:v>326195</c:v>
                </c:pt>
                <c:pt idx="2">
                  <c:v>1090280</c:v>
                </c:pt>
                <c:pt idx="3">
                  <c:v>198149</c:v>
                </c:pt>
                <c:pt idx="4">
                  <c:v>2829880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2-4B01-BCE4-7F087908A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319462"/>
        <c:axId val="28615542"/>
      </c:barChart>
      <c:catAx>
        <c:axId val="573194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615542"/>
        <c:crosses val="autoZero"/>
        <c:auto val="1"/>
        <c:lblAlgn val="ctr"/>
        <c:lblOffset val="100"/>
        <c:noMultiLvlLbl val="0"/>
      </c:catAx>
      <c:valAx>
        <c:axId val="28615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s. &quot;#,##0;&quot;(Rs.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3194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by Sales Rep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Rep_Performance!$C$4</c:f>
              <c:strCache>
                <c:ptCount val="1"/>
                <c:pt idx="0">
                  <c:v>Revenue (Rs.)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Rep_Performance!$A$5:$A$12</c:f>
              <c:strCache>
                <c:ptCount val="8"/>
                <c:pt idx="0">
                  <c:v>Amit Sharma</c:v>
                </c:pt>
                <c:pt idx="1">
                  <c:v>Ananya Roy</c:v>
                </c:pt>
                <c:pt idx="2">
                  <c:v>Divya Menon</c:v>
                </c:pt>
                <c:pt idx="3">
                  <c:v>Karthik Raman</c:v>
                </c:pt>
                <c:pt idx="4">
                  <c:v>Priya Nair</c:v>
                </c:pt>
                <c:pt idx="5">
                  <c:v>Rahul Mehta</c:v>
                </c:pt>
                <c:pt idx="6">
                  <c:v>Sneha Kulkarni</c:v>
                </c:pt>
                <c:pt idx="7">
                  <c:v>Sourav Das</c:v>
                </c:pt>
              </c:strCache>
            </c:strRef>
          </c:cat>
          <c:val>
            <c:numRef>
              <c:f>Rep_Performance!$C$5:$C$12</c:f>
              <c:numCache>
                <c:formatCode>"Rs. "#,##0;"(Rs. "#,##0\);\-</c:formatCode>
                <c:ptCount val="8"/>
                <c:pt idx="0">
                  <c:v>689289</c:v>
                </c:pt>
                <c:pt idx="1">
                  <c:v>450232</c:v>
                </c:pt>
                <c:pt idx="2">
                  <c:v>559756</c:v>
                </c:pt>
                <c:pt idx="3">
                  <c:v>505604</c:v>
                </c:pt>
                <c:pt idx="4">
                  <c:v>621709</c:v>
                </c:pt>
                <c:pt idx="5">
                  <c:v>858777</c:v>
                </c:pt>
                <c:pt idx="6">
                  <c:v>310857</c:v>
                </c:pt>
                <c:pt idx="7">
                  <c:v>632762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0-4D40-B89E-785A5B3ED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54128"/>
        <c:axId val="15850203"/>
      </c:barChart>
      <c:catAx>
        <c:axId val="2175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850203"/>
        <c:crosses val="autoZero"/>
        <c:auto val="1"/>
        <c:lblAlgn val="ctr"/>
        <c:lblOffset val="100"/>
        <c:noMultiLvlLbl val="0"/>
      </c:catAx>
      <c:valAx>
        <c:axId val="1585020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s. &quot;#,##0;&quot;(Rs.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7541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Target vs. Actual Revenue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Targets_vs_Actual!$B$4</c:f>
              <c:strCache>
                <c:ptCount val="1"/>
                <c:pt idx="0">
                  <c:v>Target Revenue (Rs.)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Targets_vs_Actual!$A$5:$A$10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Targets_vs_Actual!$B$5:$B$10</c:f>
              <c:numCache>
                <c:formatCode>"Rs. "#,##0;"(Rs. "#,##0\);\-</c:formatCode>
                <c:ptCount val="6"/>
                <c:pt idx="0">
                  <c:v>900000</c:v>
                </c:pt>
                <c:pt idx="1">
                  <c:v>950000</c:v>
                </c:pt>
                <c:pt idx="2">
                  <c:v>1000000</c:v>
                </c:pt>
                <c:pt idx="3">
                  <c:v>1050000</c:v>
                </c:pt>
                <c:pt idx="4">
                  <c:v>1100000</c:v>
                </c:pt>
                <c:pt idx="5">
                  <c:v>1150000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5-48CE-9E38-9584F35886C5}"/>
            </c:ext>
          </c:extLst>
        </c:ser>
        <c:ser>
          <c:idx val="1"/>
          <c:order val="1"/>
          <c:tx>
            <c:strRef>
              <c:f>Targets_vs_Actual!$C$4</c:f>
              <c:strCache>
                <c:ptCount val="1"/>
                <c:pt idx="0">
                  <c:v>Actual Revenue (Rs.)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Targets_vs_Actual!$A$5:$A$10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Targets_vs_Actual!$C$5:$C$10</c:f>
              <c:numCache>
                <c:formatCode>"Rs. "#,##0;"(Rs. "#,##0\);\-</c:formatCode>
                <c:ptCount val="6"/>
                <c:pt idx="0">
                  <c:v>918413</c:v>
                </c:pt>
                <c:pt idx="1">
                  <c:v>546647</c:v>
                </c:pt>
                <c:pt idx="2">
                  <c:v>857484</c:v>
                </c:pt>
                <c:pt idx="3">
                  <c:v>596093</c:v>
                </c:pt>
                <c:pt idx="4">
                  <c:v>849525</c:v>
                </c:pt>
                <c:pt idx="5">
                  <c:v>860824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85-48CE-9E38-9584F3588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159856"/>
        <c:axId val="508100"/>
      </c:barChart>
      <c:catAx>
        <c:axId val="6115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8100"/>
        <c:crosses val="autoZero"/>
        <c:auto val="1"/>
        <c:lblAlgn val="ctr"/>
        <c:lblOffset val="100"/>
        <c:noMultiLvlLbl val="0"/>
      </c:catAx>
      <c:valAx>
        <c:axId val="5081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s. &quot;#,##0;&quot;(Rs.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1598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5</xdr:col>
      <xdr:colOff>888480</xdr:colOff>
      <xdr:row>29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14</xdr:row>
      <xdr:rowOff>0</xdr:rowOff>
    </xdr:from>
    <xdr:to>
      <xdr:col>11</xdr:col>
      <xdr:colOff>364680</xdr:colOff>
      <xdr:row>29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5</xdr:col>
      <xdr:colOff>888480</xdr:colOff>
      <xdr:row>46</xdr:row>
      <xdr:rowOff>21960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1089660</xdr:colOff>
      <xdr:row>31</xdr:row>
      <xdr:rowOff>0</xdr:rowOff>
    </xdr:from>
    <xdr:to>
      <xdr:col>15</xdr:col>
      <xdr:colOff>411480</xdr:colOff>
      <xdr:row>46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120960</xdr:colOff>
      <xdr:row>30</xdr:row>
      <xdr:rowOff>21960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4</xdr:col>
      <xdr:colOff>372600</xdr:colOff>
      <xdr:row>26</xdr:row>
      <xdr:rowOff>21960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4</xdr:col>
      <xdr:colOff>810360</xdr:colOff>
      <xdr:row>26</xdr:row>
      <xdr:rowOff>21960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5</xdr:col>
      <xdr:colOff>324720</xdr:colOff>
      <xdr:row>30</xdr:row>
      <xdr:rowOff>1080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5</xdr:col>
      <xdr:colOff>621720</xdr:colOff>
      <xdr:row>31</xdr:row>
      <xdr:rowOff>1080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O221" totalsRowShown="0">
  <autoFilter ref="A1:O221" xr:uid="{00000000-0009-0000-0100-000001000000}"/>
  <tableColumns count="15">
    <tableColumn id="1" xr3:uid="{00000000-0010-0000-0000-000001000000}" name="Sale ID"/>
    <tableColumn id="2" xr3:uid="{00000000-0010-0000-0000-000002000000}" name="Date"/>
    <tableColumn id="3" xr3:uid="{00000000-0010-0000-0000-000003000000}" name="Month"/>
    <tableColumn id="4" xr3:uid="{00000000-0010-0000-0000-000004000000}" name="Region"/>
    <tableColumn id="5" xr3:uid="{00000000-0010-0000-0000-000005000000}" name="Sales Rep"/>
    <tableColumn id="6" xr3:uid="{00000000-0010-0000-0000-000006000000}" name="Category"/>
    <tableColumn id="7" xr3:uid="{00000000-0010-0000-0000-000007000000}" name="Product"/>
    <tableColumn id="8" xr3:uid="{00000000-0010-0000-0000-000008000000}" name="Customer Type"/>
    <tableColumn id="9" xr3:uid="{00000000-0010-0000-0000-000009000000}" name="Units Sold"/>
    <tableColumn id="10" xr3:uid="{00000000-0010-0000-0000-00000A000000}" name="Unit Price (Rs.)"/>
    <tableColumn id="11" xr3:uid="{00000000-0010-0000-0000-00000B000000}" name="Unit Cost (Rs.)"/>
    <tableColumn id="12" xr3:uid="{00000000-0010-0000-0000-00000C000000}" name="Revenue (Rs.)"/>
    <tableColumn id="13" xr3:uid="{00000000-0010-0000-0000-00000D000000}" name="Cost (Rs.)"/>
    <tableColumn id="14" xr3:uid="{00000000-0010-0000-0000-00000E000000}" name="Profit (Rs.)"/>
    <tableColumn id="15" xr3:uid="{00000000-0010-0000-0000-00000F000000}" name="Margin %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showGridLines="0" tabSelected="1" topLeftCell="A28" zoomScaleNormal="100" workbookViewId="0">
      <selection activeCell="B49" sqref="B49:K49"/>
    </sheetView>
  </sheetViews>
  <sheetFormatPr defaultColWidth="8.6640625" defaultRowHeight="14.4" x14ac:dyDescent="0.3"/>
  <cols>
    <col min="1" max="1" width="3" customWidth="1"/>
    <col min="2" max="9" width="16" customWidth="1"/>
    <col min="10" max="10" width="3" customWidth="1"/>
    <col min="11" max="13" width="16" customWidth="1"/>
  </cols>
  <sheetData>
    <row r="1" spans="1:11" ht="19.5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1" ht="19.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1" ht="7.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1" ht="19.5" customHeight="1" x14ac:dyDescent="0.3">
      <c r="A4" s="9" t="s">
        <v>1</v>
      </c>
      <c r="B4" s="9"/>
      <c r="C4" s="9"/>
      <c r="D4" s="9"/>
      <c r="E4" s="9"/>
      <c r="F4" s="9"/>
      <c r="G4" s="9"/>
      <c r="H4" s="9"/>
      <c r="I4" s="9"/>
      <c r="J4" s="9"/>
    </row>
    <row r="6" spans="1:11" ht="19.95" customHeight="1" x14ac:dyDescent="0.3"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 ht="19.95" customHeight="1" x14ac:dyDescent="0.3">
      <c r="B7" s="8" t="s">
        <v>2</v>
      </c>
      <c r="C7" s="8"/>
      <c r="D7" s="8" t="s">
        <v>3</v>
      </c>
      <c r="E7" s="8"/>
      <c r="F7" s="8" t="s">
        <v>4</v>
      </c>
      <c r="G7" s="8"/>
      <c r="H7" s="8" t="s">
        <v>5</v>
      </c>
      <c r="I7" s="8"/>
      <c r="J7" s="8" t="s">
        <v>6</v>
      </c>
      <c r="K7" s="8"/>
    </row>
    <row r="8" spans="1:11" ht="19.95" customHeight="1" x14ac:dyDescent="0.3"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 ht="19.95" customHeight="1" x14ac:dyDescent="0.45">
      <c r="B9" s="7">
        <f>SUM(Sales_Data!L2:L221)</f>
        <v>4628986</v>
      </c>
      <c r="C9" s="7"/>
      <c r="D9" s="7">
        <f>SUM(Sales_Data!N2:N221)</f>
        <v>1479278</v>
      </c>
      <c r="E9" s="7"/>
      <c r="F9" s="6">
        <f>SUM(Sales_Data!N2:N221)/SUM(Sales_Data!L2:L221)</f>
        <v>0.31956847568776403</v>
      </c>
      <c r="G9" s="6"/>
      <c r="H9" s="5">
        <f>COUNTA(Sales_Data!A2:A221)</f>
        <v>220</v>
      </c>
      <c r="I9" s="5"/>
      <c r="J9" s="7">
        <f>SUM(Sales_Data!L2:L221)/COUNTA(Sales_Data!A2:A221)</f>
        <v>21040.845454545455</v>
      </c>
      <c r="K9" s="7"/>
    </row>
    <row r="10" spans="1:11" ht="19.95" customHeight="1" x14ac:dyDescent="0.3"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3" spans="1:11" ht="21.75" customHeight="1" x14ac:dyDescent="0.35">
      <c r="B13" s="4" t="s">
        <v>7</v>
      </c>
      <c r="C13" s="4"/>
      <c r="D13" s="4"/>
      <c r="E13" s="4"/>
      <c r="F13" s="4"/>
      <c r="G13" s="4"/>
      <c r="H13" s="4"/>
      <c r="I13" s="4"/>
      <c r="J13" s="4"/>
      <c r="K13" s="4"/>
    </row>
    <row r="49" spans="2:11" ht="21.75" customHeight="1" x14ac:dyDescent="0.35">
      <c r="B49" s="4" t="s">
        <v>8</v>
      </c>
      <c r="C49" s="4"/>
      <c r="D49" s="4"/>
      <c r="E49" s="4"/>
      <c r="F49" s="4"/>
      <c r="G49" s="4"/>
      <c r="H49" s="4"/>
      <c r="I49" s="4"/>
      <c r="J49" s="4"/>
      <c r="K49" s="4"/>
    </row>
    <row r="51" spans="2:11" ht="18" customHeight="1" x14ac:dyDescent="0.3">
      <c r="B51" s="12" t="s">
        <v>9</v>
      </c>
      <c r="D51" s="13">
        <f>Targets_vs_Actual!B10</f>
        <v>1150000</v>
      </c>
    </row>
    <row r="52" spans="2:11" ht="18" customHeight="1" x14ac:dyDescent="0.3">
      <c r="B52" s="12" t="s">
        <v>10</v>
      </c>
      <c r="D52" s="13">
        <f>Targets_vs_Actual!C10</f>
        <v>860824</v>
      </c>
    </row>
    <row r="53" spans="2:11" ht="18" customHeight="1" x14ac:dyDescent="0.3">
      <c r="B53" s="12" t="s">
        <v>11</v>
      </c>
      <c r="D53" s="14">
        <f>Targets_vs_Actual!E10</f>
        <v>0.74854260869565215</v>
      </c>
    </row>
    <row r="54" spans="2:11" ht="18" customHeight="1" x14ac:dyDescent="0.3">
      <c r="B54" s="12" t="s">
        <v>12</v>
      </c>
      <c r="D54" s="14">
        <f>Targets_vs_Actual!C11/Targets_vs_Actual!B11</f>
        <v>0.75268065040650411</v>
      </c>
    </row>
  </sheetData>
  <mergeCells count="14">
    <mergeCell ref="B13:K13"/>
    <mergeCell ref="B49:K49"/>
    <mergeCell ref="B9:C9"/>
    <mergeCell ref="D9:E9"/>
    <mergeCell ref="F9:G9"/>
    <mergeCell ref="H9:I9"/>
    <mergeCell ref="J9:K9"/>
    <mergeCell ref="A1:J3"/>
    <mergeCell ref="A4:J4"/>
    <mergeCell ref="B7:C7"/>
    <mergeCell ref="D7:E7"/>
    <mergeCell ref="F7:G7"/>
    <mergeCell ref="H7:I7"/>
    <mergeCell ref="J7:K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showGridLines="0" zoomScaleNormal="100" workbookViewId="0"/>
  </sheetViews>
  <sheetFormatPr defaultColWidth="8.6640625" defaultRowHeight="14.4" x14ac:dyDescent="0.3"/>
  <cols>
    <col min="1" max="1" width="4" customWidth="1"/>
    <col min="2" max="2" width="30" customWidth="1"/>
    <col min="3" max="3" width="70" customWidth="1"/>
    <col min="4" max="5" width="20" customWidth="1"/>
  </cols>
  <sheetData>
    <row r="1" spans="1:5" ht="30" customHeight="1" x14ac:dyDescent="0.3">
      <c r="A1" s="3" t="s">
        <v>13</v>
      </c>
      <c r="B1" s="3"/>
      <c r="C1" s="3"/>
      <c r="D1" s="3"/>
      <c r="E1" s="3"/>
    </row>
    <row r="2" spans="1:5" x14ac:dyDescent="0.3">
      <c r="A2" s="3"/>
      <c r="B2" s="3"/>
      <c r="C2" s="3"/>
      <c r="D2" s="3"/>
      <c r="E2" s="3"/>
    </row>
    <row r="4" spans="1:5" ht="15.6" x14ac:dyDescent="0.3">
      <c r="B4" s="15" t="s">
        <v>14</v>
      </c>
    </row>
    <row r="5" spans="1:5" ht="33.75" customHeight="1" x14ac:dyDescent="0.3">
      <c r="B5" s="2" t="s">
        <v>15</v>
      </c>
      <c r="C5" s="2"/>
      <c r="D5" s="2"/>
      <c r="E5" s="2"/>
    </row>
    <row r="7" spans="1:5" ht="15.6" x14ac:dyDescent="0.3">
      <c r="B7" s="15" t="s">
        <v>16</v>
      </c>
    </row>
    <row r="8" spans="1:5" ht="33.75" customHeight="1" x14ac:dyDescent="0.3">
      <c r="B8" s="2" t="s">
        <v>17</v>
      </c>
      <c r="C8" s="2"/>
      <c r="D8" s="2"/>
      <c r="E8" s="2"/>
    </row>
    <row r="11" spans="1:5" ht="15.6" x14ac:dyDescent="0.3">
      <c r="B11" s="15" t="s">
        <v>18</v>
      </c>
    </row>
    <row r="12" spans="1:5" x14ac:dyDescent="0.3">
      <c r="B12" s="16" t="s">
        <v>19</v>
      </c>
      <c r="C12" s="16" t="s">
        <v>20</v>
      </c>
      <c r="D12" s="16" t="s">
        <v>21</v>
      </c>
    </row>
    <row r="13" spans="1:5" ht="27.75" customHeight="1" x14ac:dyDescent="0.3">
      <c r="B13" s="17" t="s">
        <v>22</v>
      </c>
      <c r="C13" s="18" t="s">
        <v>23</v>
      </c>
      <c r="D13" s="19" t="s">
        <v>24</v>
      </c>
    </row>
    <row r="14" spans="1:5" ht="27.75" customHeight="1" x14ac:dyDescent="0.3">
      <c r="B14" s="20" t="s">
        <v>25</v>
      </c>
      <c r="C14" s="21" t="s">
        <v>26</v>
      </c>
      <c r="D14" s="22" t="s">
        <v>27</v>
      </c>
    </row>
    <row r="15" spans="1:5" ht="27.75" customHeight="1" x14ac:dyDescent="0.3">
      <c r="B15" s="17" t="s">
        <v>28</v>
      </c>
      <c r="C15" s="18" t="s">
        <v>29</v>
      </c>
      <c r="D15" s="19" t="s">
        <v>24</v>
      </c>
    </row>
    <row r="16" spans="1:5" ht="27.75" customHeight="1" x14ac:dyDescent="0.3">
      <c r="B16" s="20" t="s">
        <v>30</v>
      </c>
      <c r="C16" s="21" t="s">
        <v>31</v>
      </c>
      <c r="D16" s="22" t="s">
        <v>24</v>
      </c>
    </row>
    <row r="17" spans="2:5" ht="27.75" customHeight="1" x14ac:dyDescent="0.3">
      <c r="B17" s="17" t="s">
        <v>32</v>
      </c>
      <c r="C17" s="18" t="s">
        <v>33</v>
      </c>
      <c r="D17" s="19" t="s">
        <v>24</v>
      </c>
    </row>
    <row r="18" spans="2:5" ht="27.75" customHeight="1" x14ac:dyDescent="0.3">
      <c r="B18" s="20" t="s">
        <v>34</v>
      </c>
      <c r="C18" s="21" t="s">
        <v>35</v>
      </c>
      <c r="D18" s="22" t="s">
        <v>24</v>
      </c>
    </row>
    <row r="19" spans="2:5" ht="27.75" customHeight="1" x14ac:dyDescent="0.3">
      <c r="B19" s="17" t="s">
        <v>36</v>
      </c>
      <c r="C19" s="18" t="s">
        <v>37</v>
      </c>
      <c r="D19" s="19" t="s">
        <v>38</v>
      </c>
    </row>
    <row r="22" spans="2:5" ht="15.6" x14ac:dyDescent="0.3">
      <c r="B22" s="15" t="s">
        <v>39</v>
      </c>
    </row>
    <row r="23" spans="2:5" x14ac:dyDescent="0.3">
      <c r="B23" s="1" t="s">
        <v>40</v>
      </c>
      <c r="C23" s="1"/>
      <c r="D23" s="1"/>
      <c r="E23" s="1"/>
    </row>
    <row r="24" spans="2:5" x14ac:dyDescent="0.3">
      <c r="B24" s="1" t="s">
        <v>41</v>
      </c>
      <c r="C24" s="1"/>
      <c r="D24" s="1"/>
      <c r="E24" s="1"/>
    </row>
    <row r="25" spans="2:5" x14ac:dyDescent="0.3">
      <c r="B25" s="1" t="s">
        <v>42</v>
      </c>
      <c r="C25" s="1"/>
      <c r="D25" s="1"/>
      <c r="E25" s="1"/>
    </row>
    <row r="26" spans="2:5" x14ac:dyDescent="0.3">
      <c r="B26" s="1" t="s">
        <v>43</v>
      </c>
      <c r="C26" s="1"/>
      <c r="D26" s="1"/>
      <c r="E26" s="1"/>
    </row>
    <row r="27" spans="2:5" x14ac:dyDescent="0.3">
      <c r="B27" s="1" t="s">
        <v>44</v>
      </c>
      <c r="C27" s="1"/>
      <c r="D27" s="1"/>
      <c r="E27" s="1"/>
    </row>
    <row r="29" spans="2:5" ht="15.6" x14ac:dyDescent="0.3">
      <c r="B29" s="15" t="s">
        <v>45</v>
      </c>
    </row>
    <row r="30" spans="2:5" x14ac:dyDescent="0.3">
      <c r="B30" s="23" t="s">
        <v>46</v>
      </c>
      <c r="C30" s="12" t="s">
        <v>47</v>
      </c>
    </row>
    <row r="31" spans="2:5" x14ac:dyDescent="0.3">
      <c r="B31" s="24" t="s">
        <v>48</v>
      </c>
      <c r="C31" s="12" t="s">
        <v>49</v>
      </c>
    </row>
    <row r="32" spans="2:5" x14ac:dyDescent="0.3">
      <c r="B32" s="25" t="s">
        <v>50</v>
      </c>
      <c r="C32" s="12" t="s">
        <v>51</v>
      </c>
    </row>
    <row r="35" spans="2:2" x14ac:dyDescent="0.3">
      <c r="B35" s="26" t="s">
        <v>52</v>
      </c>
    </row>
  </sheetData>
  <mergeCells count="8">
    <mergeCell ref="B25:E25"/>
    <mergeCell ref="B26:E26"/>
    <mergeCell ref="B27:E27"/>
    <mergeCell ref="A1:E2"/>
    <mergeCell ref="B5:E5"/>
    <mergeCell ref="B8:E8"/>
    <mergeCell ref="B23:E23"/>
    <mergeCell ref="B24:E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2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2" customWidth="1"/>
    <col min="3" max="4" width="10" customWidth="1"/>
    <col min="5" max="6" width="16" customWidth="1"/>
    <col min="7" max="7" width="20" customWidth="1"/>
    <col min="8" max="8" width="13" customWidth="1"/>
    <col min="9" max="9" width="10" customWidth="1"/>
    <col min="10" max="14" width="14" customWidth="1"/>
    <col min="15" max="15" width="10" customWidth="1"/>
  </cols>
  <sheetData>
    <row r="1" spans="1:15" ht="30" customHeight="1" x14ac:dyDescent="0.3">
      <c r="A1" s="16" t="s">
        <v>53</v>
      </c>
      <c r="B1" s="16" t="s">
        <v>54</v>
      </c>
      <c r="C1" s="16" t="s">
        <v>55</v>
      </c>
      <c r="D1" s="16" t="s">
        <v>56</v>
      </c>
      <c r="E1" s="16" t="s">
        <v>57</v>
      </c>
      <c r="F1" s="16" t="s">
        <v>58</v>
      </c>
      <c r="G1" s="16" t="s">
        <v>59</v>
      </c>
      <c r="H1" s="16" t="s">
        <v>60</v>
      </c>
      <c r="I1" s="16" t="s">
        <v>61</v>
      </c>
      <c r="J1" s="16" t="s">
        <v>62</v>
      </c>
      <c r="K1" s="16" t="s">
        <v>63</v>
      </c>
      <c r="L1" s="16" t="s">
        <v>64</v>
      </c>
      <c r="M1" s="16" t="s">
        <v>65</v>
      </c>
      <c r="N1" s="16" t="s">
        <v>66</v>
      </c>
      <c r="O1" s="16" t="s">
        <v>67</v>
      </c>
    </row>
    <row r="2" spans="1:15" x14ac:dyDescent="0.3">
      <c r="A2" s="27" t="s">
        <v>68</v>
      </c>
      <c r="B2" s="28" t="s">
        <v>69</v>
      </c>
      <c r="C2" s="29" t="str">
        <f t="shared" ref="C2:C65" si="0">TEXT(B2,"mmm-yy")</f>
        <v>Jan-26</v>
      </c>
      <c r="D2" s="27" t="s">
        <v>70</v>
      </c>
      <c r="E2" s="27" t="s">
        <v>71</v>
      </c>
      <c r="F2" s="27" t="s">
        <v>72</v>
      </c>
      <c r="G2" s="27" t="s">
        <v>73</v>
      </c>
      <c r="H2" s="27" t="s">
        <v>74</v>
      </c>
      <c r="I2" s="30">
        <v>6</v>
      </c>
      <c r="J2" s="31">
        <v>941</v>
      </c>
      <c r="K2" s="31">
        <v>679</v>
      </c>
      <c r="L2" s="32">
        <f t="shared" ref="L2:L65" si="1">I2*J2</f>
        <v>5646</v>
      </c>
      <c r="M2" s="32">
        <f t="shared" ref="M2:M65" si="2">I2*K2</f>
        <v>4074</v>
      </c>
      <c r="N2" s="32">
        <f t="shared" ref="N2:N65" si="3">L2-M2</f>
        <v>1572</v>
      </c>
      <c r="O2" s="33">
        <f t="shared" ref="O2:O65" si="4">IFERROR(N2/L2,0)</f>
        <v>0.27842720510095642</v>
      </c>
    </row>
    <row r="3" spans="1:15" x14ac:dyDescent="0.3">
      <c r="A3" s="27" t="s">
        <v>75</v>
      </c>
      <c r="B3" s="28" t="s">
        <v>76</v>
      </c>
      <c r="C3" s="29" t="str">
        <f t="shared" si="0"/>
        <v>Jan-26</v>
      </c>
      <c r="D3" s="27" t="s">
        <v>77</v>
      </c>
      <c r="E3" s="27" t="s">
        <v>78</v>
      </c>
      <c r="F3" s="27" t="s">
        <v>79</v>
      </c>
      <c r="G3" s="27" t="s">
        <v>80</v>
      </c>
      <c r="H3" s="27" t="s">
        <v>81</v>
      </c>
      <c r="I3" s="30">
        <v>3</v>
      </c>
      <c r="J3" s="31">
        <v>7470</v>
      </c>
      <c r="K3" s="31">
        <v>4438</v>
      </c>
      <c r="L3" s="32">
        <f t="shared" si="1"/>
        <v>22410</v>
      </c>
      <c r="M3" s="32">
        <f t="shared" si="2"/>
        <v>13314</v>
      </c>
      <c r="N3" s="32">
        <f t="shared" si="3"/>
        <v>9096</v>
      </c>
      <c r="O3" s="33">
        <f t="shared" si="4"/>
        <v>0.40589022757697457</v>
      </c>
    </row>
    <row r="4" spans="1:15" x14ac:dyDescent="0.3">
      <c r="A4" s="27" t="s">
        <v>82</v>
      </c>
      <c r="B4" s="28" t="s">
        <v>76</v>
      </c>
      <c r="C4" s="29" t="str">
        <f t="shared" si="0"/>
        <v>Jan-26</v>
      </c>
      <c r="D4" s="27" t="s">
        <v>83</v>
      </c>
      <c r="E4" s="27" t="s">
        <v>84</v>
      </c>
      <c r="F4" s="27" t="s">
        <v>85</v>
      </c>
      <c r="G4" s="27" t="s">
        <v>86</v>
      </c>
      <c r="H4" s="27" t="s">
        <v>81</v>
      </c>
      <c r="I4" s="30">
        <v>1</v>
      </c>
      <c r="J4" s="31">
        <v>400</v>
      </c>
      <c r="K4" s="31">
        <v>291</v>
      </c>
      <c r="L4" s="32">
        <f t="shared" si="1"/>
        <v>400</v>
      </c>
      <c r="M4" s="32">
        <f t="shared" si="2"/>
        <v>291</v>
      </c>
      <c r="N4" s="32">
        <f t="shared" si="3"/>
        <v>109</v>
      </c>
      <c r="O4" s="33">
        <f t="shared" si="4"/>
        <v>0.27250000000000002</v>
      </c>
    </row>
    <row r="5" spans="1:15" x14ac:dyDescent="0.3">
      <c r="A5" s="27" t="s">
        <v>87</v>
      </c>
      <c r="B5" s="28" t="s">
        <v>88</v>
      </c>
      <c r="C5" s="29" t="str">
        <f t="shared" si="0"/>
        <v>Jan-26</v>
      </c>
      <c r="D5" s="27" t="s">
        <v>77</v>
      </c>
      <c r="E5" s="27" t="s">
        <v>89</v>
      </c>
      <c r="F5" s="27" t="s">
        <v>72</v>
      </c>
      <c r="G5" s="27" t="s">
        <v>73</v>
      </c>
      <c r="H5" s="27" t="s">
        <v>74</v>
      </c>
      <c r="I5" s="30">
        <v>1</v>
      </c>
      <c r="J5" s="31">
        <v>888</v>
      </c>
      <c r="K5" s="31">
        <v>596</v>
      </c>
      <c r="L5" s="32">
        <f t="shared" si="1"/>
        <v>888</v>
      </c>
      <c r="M5" s="32">
        <f t="shared" si="2"/>
        <v>596</v>
      </c>
      <c r="N5" s="32">
        <f t="shared" si="3"/>
        <v>292</v>
      </c>
      <c r="O5" s="33">
        <f t="shared" si="4"/>
        <v>0.32882882882882886</v>
      </c>
    </row>
    <row r="6" spans="1:15" x14ac:dyDescent="0.3">
      <c r="A6" s="27" t="s">
        <v>90</v>
      </c>
      <c r="B6" s="28" t="s">
        <v>88</v>
      </c>
      <c r="C6" s="29" t="str">
        <f t="shared" si="0"/>
        <v>Jan-26</v>
      </c>
      <c r="D6" s="27" t="s">
        <v>77</v>
      </c>
      <c r="E6" s="27" t="s">
        <v>78</v>
      </c>
      <c r="F6" s="27" t="s">
        <v>79</v>
      </c>
      <c r="G6" s="27" t="s">
        <v>91</v>
      </c>
      <c r="H6" s="27" t="s">
        <v>81</v>
      </c>
      <c r="I6" s="30">
        <v>3</v>
      </c>
      <c r="J6" s="31">
        <v>4300</v>
      </c>
      <c r="K6" s="31">
        <v>2995</v>
      </c>
      <c r="L6" s="32">
        <f t="shared" si="1"/>
        <v>12900</v>
      </c>
      <c r="M6" s="32">
        <f t="shared" si="2"/>
        <v>8985</v>
      </c>
      <c r="N6" s="32">
        <f t="shared" si="3"/>
        <v>3915</v>
      </c>
      <c r="O6" s="33">
        <f t="shared" si="4"/>
        <v>0.30348837209302326</v>
      </c>
    </row>
    <row r="7" spans="1:15" x14ac:dyDescent="0.3">
      <c r="A7" s="27" t="s">
        <v>92</v>
      </c>
      <c r="B7" s="28" t="s">
        <v>93</v>
      </c>
      <c r="C7" s="29" t="str">
        <f t="shared" si="0"/>
        <v>Jan-26</v>
      </c>
      <c r="D7" s="27" t="s">
        <v>70</v>
      </c>
      <c r="E7" s="27" t="s">
        <v>71</v>
      </c>
      <c r="F7" s="27" t="s">
        <v>85</v>
      </c>
      <c r="G7" s="27" t="s">
        <v>94</v>
      </c>
      <c r="H7" s="27" t="s">
        <v>81</v>
      </c>
      <c r="I7" s="30">
        <v>3</v>
      </c>
      <c r="J7" s="31">
        <v>1370</v>
      </c>
      <c r="K7" s="31">
        <v>819</v>
      </c>
      <c r="L7" s="32">
        <f t="shared" si="1"/>
        <v>4110</v>
      </c>
      <c r="M7" s="32">
        <f t="shared" si="2"/>
        <v>2457</v>
      </c>
      <c r="N7" s="32">
        <f t="shared" si="3"/>
        <v>1653</v>
      </c>
      <c r="O7" s="33">
        <f t="shared" si="4"/>
        <v>0.40218978102189779</v>
      </c>
    </row>
    <row r="8" spans="1:15" x14ac:dyDescent="0.3">
      <c r="A8" s="27" t="s">
        <v>95</v>
      </c>
      <c r="B8" s="28" t="s">
        <v>96</v>
      </c>
      <c r="C8" s="29" t="str">
        <f t="shared" si="0"/>
        <v>Jan-26</v>
      </c>
      <c r="D8" s="27" t="s">
        <v>70</v>
      </c>
      <c r="E8" s="27" t="s">
        <v>71</v>
      </c>
      <c r="F8" s="27" t="s">
        <v>97</v>
      </c>
      <c r="G8" s="27" t="s">
        <v>98</v>
      </c>
      <c r="H8" s="27" t="s">
        <v>74</v>
      </c>
      <c r="I8" s="30">
        <v>3</v>
      </c>
      <c r="J8" s="31">
        <v>2150</v>
      </c>
      <c r="K8" s="31">
        <v>1290</v>
      </c>
      <c r="L8" s="32">
        <f t="shared" si="1"/>
        <v>6450</v>
      </c>
      <c r="M8" s="32">
        <f t="shared" si="2"/>
        <v>3870</v>
      </c>
      <c r="N8" s="32">
        <f t="shared" si="3"/>
        <v>2580</v>
      </c>
      <c r="O8" s="33">
        <f t="shared" si="4"/>
        <v>0.4</v>
      </c>
    </row>
    <row r="9" spans="1:15" x14ac:dyDescent="0.3">
      <c r="A9" s="27" t="s">
        <v>99</v>
      </c>
      <c r="B9" s="28" t="s">
        <v>100</v>
      </c>
      <c r="C9" s="29" t="str">
        <f t="shared" si="0"/>
        <v>Jan-26</v>
      </c>
      <c r="D9" s="27" t="s">
        <v>83</v>
      </c>
      <c r="E9" s="27" t="s">
        <v>101</v>
      </c>
      <c r="F9" s="27" t="s">
        <v>102</v>
      </c>
      <c r="G9" s="27" t="s">
        <v>103</v>
      </c>
      <c r="H9" s="27" t="s">
        <v>81</v>
      </c>
      <c r="I9" s="30">
        <v>5</v>
      </c>
      <c r="J9" s="31">
        <v>1830</v>
      </c>
      <c r="K9" s="31">
        <v>1067</v>
      </c>
      <c r="L9" s="32">
        <f t="shared" si="1"/>
        <v>9150</v>
      </c>
      <c r="M9" s="32">
        <f t="shared" si="2"/>
        <v>5335</v>
      </c>
      <c r="N9" s="32">
        <f t="shared" si="3"/>
        <v>3815</v>
      </c>
      <c r="O9" s="33">
        <f t="shared" si="4"/>
        <v>0.41693989071038251</v>
      </c>
    </row>
    <row r="10" spans="1:15" x14ac:dyDescent="0.3">
      <c r="A10" s="27" t="s">
        <v>104</v>
      </c>
      <c r="B10" s="28" t="s">
        <v>100</v>
      </c>
      <c r="C10" s="29" t="str">
        <f t="shared" si="0"/>
        <v>Jan-26</v>
      </c>
      <c r="D10" s="27" t="s">
        <v>70</v>
      </c>
      <c r="E10" s="27" t="s">
        <v>105</v>
      </c>
      <c r="F10" s="27" t="s">
        <v>102</v>
      </c>
      <c r="G10" s="27" t="s">
        <v>106</v>
      </c>
      <c r="H10" s="27" t="s">
        <v>107</v>
      </c>
      <c r="I10" s="30">
        <v>6</v>
      </c>
      <c r="J10" s="31">
        <v>783</v>
      </c>
      <c r="K10" s="31">
        <v>475</v>
      </c>
      <c r="L10" s="32">
        <f t="shared" si="1"/>
        <v>4698</v>
      </c>
      <c r="M10" s="32">
        <f t="shared" si="2"/>
        <v>2850</v>
      </c>
      <c r="N10" s="32">
        <f t="shared" si="3"/>
        <v>1848</v>
      </c>
      <c r="O10" s="33">
        <f t="shared" si="4"/>
        <v>0.39335887611749681</v>
      </c>
    </row>
    <row r="11" spans="1:15" x14ac:dyDescent="0.3">
      <c r="A11" s="27" t="s">
        <v>108</v>
      </c>
      <c r="B11" s="28" t="s">
        <v>109</v>
      </c>
      <c r="C11" s="29" t="str">
        <f t="shared" si="0"/>
        <v>Jan-26</v>
      </c>
      <c r="D11" s="27" t="s">
        <v>110</v>
      </c>
      <c r="E11" s="27" t="s">
        <v>111</v>
      </c>
      <c r="F11" s="27" t="s">
        <v>72</v>
      </c>
      <c r="G11" s="27" t="s">
        <v>112</v>
      </c>
      <c r="H11" s="27" t="s">
        <v>107</v>
      </c>
      <c r="I11" s="30">
        <v>1</v>
      </c>
      <c r="J11" s="31">
        <v>1920</v>
      </c>
      <c r="K11" s="31">
        <v>1481</v>
      </c>
      <c r="L11" s="32">
        <f t="shared" si="1"/>
        <v>1920</v>
      </c>
      <c r="M11" s="32">
        <f t="shared" si="2"/>
        <v>1481</v>
      </c>
      <c r="N11" s="32">
        <f t="shared" si="3"/>
        <v>439</v>
      </c>
      <c r="O11" s="33">
        <f t="shared" si="4"/>
        <v>0.22864583333333333</v>
      </c>
    </row>
    <row r="12" spans="1:15" x14ac:dyDescent="0.3">
      <c r="A12" s="27" t="s">
        <v>113</v>
      </c>
      <c r="B12" s="28" t="s">
        <v>114</v>
      </c>
      <c r="C12" s="29" t="str">
        <f t="shared" si="0"/>
        <v>Jan-26</v>
      </c>
      <c r="D12" s="27" t="s">
        <v>70</v>
      </c>
      <c r="E12" s="27" t="s">
        <v>105</v>
      </c>
      <c r="F12" s="27" t="s">
        <v>97</v>
      </c>
      <c r="G12" s="27" t="s">
        <v>98</v>
      </c>
      <c r="H12" s="27" t="s">
        <v>107</v>
      </c>
      <c r="I12" s="30">
        <v>10</v>
      </c>
      <c r="J12" s="31">
        <v>2160</v>
      </c>
      <c r="K12" s="31">
        <v>1677</v>
      </c>
      <c r="L12" s="32">
        <f t="shared" si="1"/>
        <v>21600</v>
      </c>
      <c r="M12" s="32">
        <f t="shared" si="2"/>
        <v>16770</v>
      </c>
      <c r="N12" s="32">
        <f t="shared" si="3"/>
        <v>4830</v>
      </c>
      <c r="O12" s="33">
        <f t="shared" si="4"/>
        <v>0.22361111111111112</v>
      </c>
    </row>
    <row r="13" spans="1:15" x14ac:dyDescent="0.3">
      <c r="A13" s="27" t="s">
        <v>115</v>
      </c>
      <c r="B13" s="28" t="s">
        <v>114</v>
      </c>
      <c r="C13" s="29" t="str">
        <f t="shared" si="0"/>
        <v>Jan-26</v>
      </c>
      <c r="D13" s="27" t="s">
        <v>70</v>
      </c>
      <c r="E13" s="27" t="s">
        <v>105</v>
      </c>
      <c r="F13" s="27" t="s">
        <v>102</v>
      </c>
      <c r="G13" s="27" t="s">
        <v>106</v>
      </c>
      <c r="H13" s="27" t="s">
        <v>81</v>
      </c>
      <c r="I13" s="30">
        <v>4</v>
      </c>
      <c r="J13" s="31">
        <v>863</v>
      </c>
      <c r="K13" s="31">
        <v>574</v>
      </c>
      <c r="L13" s="32">
        <f t="shared" si="1"/>
        <v>3452</v>
      </c>
      <c r="M13" s="32">
        <f t="shared" si="2"/>
        <v>2296</v>
      </c>
      <c r="N13" s="32">
        <f t="shared" si="3"/>
        <v>1156</v>
      </c>
      <c r="O13" s="33">
        <f t="shared" si="4"/>
        <v>0.33487833140208573</v>
      </c>
    </row>
    <row r="14" spans="1:15" x14ac:dyDescent="0.3">
      <c r="A14" s="27" t="s">
        <v>116</v>
      </c>
      <c r="B14" s="28" t="s">
        <v>114</v>
      </c>
      <c r="C14" s="29" t="str">
        <f t="shared" si="0"/>
        <v>Jan-26</v>
      </c>
      <c r="D14" s="27" t="s">
        <v>83</v>
      </c>
      <c r="E14" s="27" t="s">
        <v>101</v>
      </c>
      <c r="F14" s="27" t="s">
        <v>85</v>
      </c>
      <c r="G14" s="27" t="s">
        <v>117</v>
      </c>
      <c r="H14" s="27" t="s">
        <v>81</v>
      </c>
      <c r="I14" s="30">
        <v>2</v>
      </c>
      <c r="J14" s="31">
        <v>1710</v>
      </c>
      <c r="K14" s="31">
        <v>1315</v>
      </c>
      <c r="L14" s="32">
        <f t="shared" si="1"/>
        <v>3420</v>
      </c>
      <c r="M14" s="32">
        <f t="shared" si="2"/>
        <v>2630</v>
      </c>
      <c r="N14" s="32">
        <f t="shared" si="3"/>
        <v>790</v>
      </c>
      <c r="O14" s="33">
        <f t="shared" si="4"/>
        <v>0.23099415204678361</v>
      </c>
    </row>
    <row r="15" spans="1:15" x14ac:dyDescent="0.3">
      <c r="A15" s="27" t="s">
        <v>118</v>
      </c>
      <c r="B15" s="28" t="s">
        <v>114</v>
      </c>
      <c r="C15" s="29" t="str">
        <f t="shared" si="0"/>
        <v>Jan-26</v>
      </c>
      <c r="D15" s="27" t="s">
        <v>83</v>
      </c>
      <c r="E15" s="27" t="s">
        <v>84</v>
      </c>
      <c r="F15" s="27" t="s">
        <v>72</v>
      </c>
      <c r="G15" s="27" t="s">
        <v>119</v>
      </c>
      <c r="H15" s="27" t="s">
        <v>81</v>
      </c>
      <c r="I15" s="30">
        <v>6</v>
      </c>
      <c r="J15" s="31">
        <v>355</v>
      </c>
      <c r="K15" s="31">
        <v>240</v>
      </c>
      <c r="L15" s="32">
        <f t="shared" si="1"/>
        <v>2130</v>
      </c>
      <c r="M15" s="32">
        <f t="shared" si="2"/>
        <v>1440</v>
      </c>
      <c r="N15" s="32">
        <f t="shared" si="3"/>
        <v>690</v>
      </c>
      <c r="O15" s="33">
        <f t="shared" si="4"/>
        <v>0.323943661971831</v>
      </c>
    </row>
    <row r="16" spans="1:15" x14ac:dyDescent="0.3">
      <c r="A16" s="27" t="s">
        <v>120</v>
      </c>
      <c r="B16" s="28" t="s">
        <v>114</v>
      </c>
      <c r="C16" s="29" t="str">
        <f t="shared" si="0"/>
        <v>Jan-26</v>
      </c>
      <c r="D16" s="27" t="s">
        <v>110</v>
      </c>
      <c r="E16" s="27" t="s">
        <v>111</v>
      </c>
      <c r="F16" s="27" t="s">
        <v>85</v>
      </c>
      <c r="G16" s="27" t="s">
        <v>86</v>
      </c>
      <c r="H16" s="27" t="s">
        <v>107</v>
      </c>
      <c r="I16" s="30">
        <v>6</v>
      </c>
      <c r="J16" s="31">
        <v>389</v>
      </c>
      <c r="K16" s="31">
        <v>248</v>
      </c>
      <c r="L16" s="32">
        <f t="shared" si="1"/>
        <v>2334</v>
      </c>
      <c r="M16" s="32">
        <f t="shared" si="2"/>
        <v>1488</v>
      </c>
      <c r="N16" s="32">
        <f t="shared" si="3"/>
        <v>846</v>
      </c>
      <c r="O16" s="33">
        <f t="shared" si="4"/>
        <v>0.36246786632390743</v>
      </c>
    </row>
    <row r="17" spans="1:15" x14ac:dyDescent="0.3">
      <c r="A17" s="27" t="s">
        <v>121</v>
      </c>
      <c r="B17" s="28" t="s">
        <v>122</v>
      </c>
      <c r="C17" s="29" t="str">
        <f t="shared" si="0"/>
        <v>Jan-26</v>
      </c>
      <c r="D17" s="27" t="s">
        <v>77</v>
      </c>
      <c r="E17" s="27" t="s">
        <v>78</v>
      </c>
      <c r="F17" s="27" t="s">
        <v>97</v>
      </c>
      <c r="G17" s="27" t="s">
        <v>123</v>
      </c>
      <c r="H17" s="27" t="s">
        <v>81</v>
      </c>
      <c r="I17" s="30">
        <v>1</v>
      </c>
      <c r="J17" s="31">
        <v>18890</v>
      </c>
      <c r="K17" s="31">
        <v>11896</v>
      </c>
      <c r="L17" s="32">
        <f t="shared" si="1"/>
        <v>18890</v>
      </c>
      <c r="M17" s="32">
        <f t="shared" si="2"/>
        <v>11896</v>
      </c>
      <c r="N17" s="32">
        <f t="shared" si="3"/>
        <v>6994</v>
      </c>
      <c r="O17" s="33">
        <f t="shared" si="4"/>
        <v>0.37024880889359452</v>
      </c>
    </row>
    <row r="18" spans="1:15" x14ac:dyDescent="0.3">
      <c r="A18" s="27" t="s">
        <v>124</v>
      </c>
      <c r="B18" s="28" t="s">
        <v>122</v>
      </c>
      <c r="C18" s="29" t="str">
        <f t="shared" si="0"/>
        <v>Jan-26</v>
      </c>
      <c r="D18" s="27" t="s">
        <v>70</v>
      </c>
      <c r="E18" s="27" t="s">
        <v>71</v>
      </c>
      <c r="F18" s="27" t="s">
        <v>97</v>
      </c>
      <c r="G18" s="27" t="s">
        <v>125</v>
      </c>
      <c r="H18" s="27" t="s">
        <v>107</v>
      </c>
      <c r="I18" s="30">
        <v>8</v>
      </c>
      <c r="J18" s="31">
        <v>26590</v>
      </c>
      <c r="K18" s="31">
        <v>16934</v>
      </c>
      <c r="L18" s="32">
        <f t="shared" si="1"/>
        <v>212720</v>
      </c>
      <c r="M18" s="32">
        <f t="shared" si="2"/>
        <v>135472</v>
      </c>
      <c r="N18" s="32">
        <f t="shared" si="3"/>
        <v>77248</v>
      </c>
      <c r="O18" s="33">
        <f t="shared" si="4"/>
        <v>0.3631440391124483</v>
      </c>
    </row>
    <row r="19" spans="1:15" x14ac:dyDescent="0.3">
      <c r="A19" s="27" t="s">
        <v>126</v>
      </c>
      <c r="B19" s="28" t="s">
        <v>122</v>
      </c>
      <c r="C19" s="29" t="str">
        <f t="shared" si="0"/>
        <v>Jan-26</v>
      </c>
      <c r="D19" s="27" t="s">
        <v>70</v>
      </c>
      <c r="E19" s="27" t="s">
        <v>105</v>
      </c>
      <c r="F19" s="27" t="s">
        <v>72</v>
      </c>
      <c r="G19" s="27" t="s">
        <v>73</v>
      </c>
      <c r="H19" s="27" t="s">
        <v>107</v>
      </c>
      <c r="I19" s="30">
        <v>2</v>
      </c>
      <c r="J19" s="31">
        <v>922</v>
      </c>
      <c r="K19" s="31">
        <v>563</v>
      </c>
      <c r="L19" s="32">
        <f t="shared" si="1"/>
        <v>1844</v>
      </c>
      <c r="M19" s="32">
        <f t="shared" si="2"/>
        <v>1126</v>
      </c>
      <c r="N19" s="32">
        <f t="shared" si="3"/>
        <v>718</v>
      </c>
      <c r="O19" s="33">
        <f t="shared" si="4"/>
        <v>0.38937093275488072</v>
      </c>
    </row>
    <row r="20" spans="1:15" x14ac:dyDescent="0.3">
      <c r="A20" s="27" t="s">
        <v>127</v>
      </c>
      <c r="B20" s="28" t="s">
        <v>128</v>
      </c>
      <c r="C20" s="29" t="str">
        <f t="shared" si="0"/>
        <v>Jan-26</v>
      </c>
      <c r="D20" s="27" t="s">
        <v>70</v>
      </c>
      <c r="E20" s="27" t="s">
        <v>71</v>
      </c>
      <c r="F20" s="27" t="s">
        <v>102</v>
      </c>
      <c r="G20" s="27" t="s">
        <v>103</v>
      </c>
      <c r="H20" s="27" t="s">
        <v>74</v>
      </c>
      <c r="I20" s="30">
        <v>6</v>
      </c>
      <c r="J20" s="31">
        <v>1930</v>
      </c>
      <c r="K20" s="31">
        <v>1180</v>
      </c>
      <c r="L20" s="32">
        <f t="shared" si="1"/>
        <v>11580</v>
      </c>
      <c r="M20" s="32">
        <f t="shared" si="2"/>
        <v>7080</v>
      </c>
      <c r="N20" s="32">
        <f t="shared" si="3"/>
        <v>4500</v>
      </c>
      <c r="O20" s="33">
        <f t="shared" si="4"/>
        <v>0.38860103626943004</v>
      </c>
    </row>
    <row r="21" spans="1:15" x14ac:dyDescent="0.3">
      <c r="A21" s="27" t="s">
        <v>129</v>
      </c>
      <c r="B21" s="28" t="s">
        <v>130</v>
      </c>
      <c r="C21" s="29" t="str">
        <f t="shared" si="0"/>
        <v>Jan-26</v>
      </c>
      <c r="D21" s="27" t="s">
        <v>110</v>
      </c>
      <c r="E21" s="27" t="s">
        <v>131</v>
      </c>
      <c r="F21" s="27" t="s">
        <v>72</v>
      </c>
      <c r="G21" s="27" t="s">
        <v>112</v>
      </c>
      <c r="H21" s="27" t="s">
        <v>74</v>
      </c>
      <c r="I21" s="30">
        <v>5</v>
      </c>
      <c r="J21" s="31">
        <v>1950</v>
      </c>
      <c r="K21" s="31">
        <v>1327</v>
      </c>
      <c r="L21" s="32">
        <f t="shared" si="1"/>
        <v>9750</v>
      </c>
      <c r="M21" s="32">
        <f t="shared" si="2"/>
        <v>6635</v>
      </c>
      <c r="N21" s="32">
        <f t="shared" si="3"/>
        <v>3115</v>
      </c>
      <c r="O21" s="33">
        <f t="shared" si="4"/>
        <v>0.31948717948717947</v>
      </c>
    </row>
    <row r="22" spans="1:15" x14ac:dyDescent="0.3">
      <c r="A22" s="27" t="s">
        <v>132</v>
      </c>
      <c r="B22" s="28" t="s">
        <v>130</v>
      </c>
      <c r="C22" s="29" t="str">
        <f t="shared" si="0"/>
        <v>Jan-26</v>
      </c>
      <c r="D22" s="27" t="s">
        <v>70</v>
      </c>
      <c r="E22" s="27" t="s">
        <v>105</v>
      </c>
      <c r="F22" s="27" t="s">
        <v>97</v>
      </c>
      <c r="G22" s="27" t="s">
        <v>123</v>
      </c>
      <c r="H22" s="27" t="s">
        <v>81</v>
      </c>
      <c r="I22" s="30">
        <v>4</v>
      </c>
      <c r="J22" s="31">
        <v>19060</v>
      </c>
      <c r="K22" s="31">
        <v>14193</v>
      </c>
      <c r="L22" s="32">
        <f t="shared" si="1"/>
        <v>76240</v>
      </c>
      <c r="M22" s="32">
        <f t="shared" si="2"/>
        <v>56772</v>
      </c>
      <c r="N22" s="32">
        <f t="shared" si="3"/>
        <v>19468</v>
      </c>
      <c r="O22" s="33">
        <f t="shared" si="4"/>
        <v>0.25535152151101786</v>
      </c>
    </row>
    <row r="23" spans="1:15" x14ac:dyDescent="0.3">
      <c r="A23" s="27" t="s">
        <v>133</v>
      </c>
      <c r="B23" s="28" t="s">
        <v>134</v>
      </c>
      <c r="C23" s="29" t="str">
        <f t="shared" si="0"/>
        <v>Jan-26</v>
      </c>
      <c r="D23" s="27" t="s">
        <v>83</v>
      </c>
      <c r="E23" s="27" t="s">
        <v>84</v>
      </c>
      <c r="F23" s="27" t="s">
        <v>79</v>
      </c>
      <c r="G23" s="27" t="s">
        <v>135</v>
      </c>
      <c r="H23" s="27" t="s">
        <v>81</v>
      </c>
      <c r="I23" s="30">
        <v>8</v>
      </c>
      <c r="J23" s="31">
        <v>16810</v>
      </c>
      <c r="K23" s="31">
        <v>9759</v>
      </c>
      <c r="L23" s="32">
        <f t="shared" si="1"/>
        <v>134480</v>
      </c>
      <c r="M23" s="32">
        <f t="shared" si="2"/>
        <v>78072</v>
      </c>
      <c r="N23" s="32">
        <f t="shared" si="3"/>
        <v>56408</v>
      </c>
      <c r="O23" s="33">
        <f t="shared" si="4"/>
        <v>0.41945270672218915</v>
      </c>
    </row>
    <row r="24" spans="1:15" x14ac:dyDescent="0.3">
      <c r="A24" s="27" t="s">
        <v>136</v>
      </c>
      <c r="B24" s="28" t="s">
        <v>137</v>
      </c>
      <c r="C24" s="29" t="str">
        <f t="shared" si="0"/>
        <v>Jan-26</v>
      </c>
      <c r="D24" s="27" t="s">
        <v>77</v>
      </c>
      <c r="E24" s="27" t="s">
        <v>89</v>
      </c>
      <c r="F24" s="27" t="s">
        <v>85</v>
      </c>
      <c r="G24" s="27" t="s">
        <v>86</v>
      </c>
      <c r="H24" s="27" t="s">
        <v>74</v>
      </c>
      <c r="I24" s="30">
        <v>1</v>
      </c>
      <c r="J24" s="31">
        <v>431</v>
      </c>
      <c r="K24" s="31">
        <v>296</v>
      </c>
      <c r="L24" s="32">
        <f t="shared" si="1"/>
        <v>431</v>
      </c>
      <c r="M24" s="32">
        <f t="shared" si="2"/>
        <v>296</v>
      </c>
      <c r="N24" s="32">
        <f t="shared" si="3"/>
        <v>135</v>
      </c>
      <c r="O24" s="33">
        <f t="shared" si="4"/>
        <v>0.31322505800464034</v>
      </c>
    </row>
    <row r="25" spans="1:15" x14ac:dyDescent="0.3">
      <c r="A25" s="27" t="s">
        <v>138</v>
      </c>
      <c r="B25" s="28" t="s">
        <v>137</v>
      </c>
      <c r="C25" s="29" t="str">
        <f t="shared" si="0"/>
        <v>Jan-26</v>
      </c>
      <c r="D25" s="27" t="s">
        <v>110</v>
      </c>
      <c r="E25" s="27" t="s">
        <v>131</v>
      </c>
      <c r="F25" s="27" t="s">
        <v>85</v>
      </c>
      <c r="G25" s="27" t="s">
        <v>117</v>
      </c>
      <c r="H25" s="27" t="s">
        <v>81</v>
      </c>
      <c r="I25" s="30">
        <v>4</v>
      </c>
      <c r="J25" s="31">
        <v>1880</v>
      </c>
      <c r="K25" s="31">
        <v>1276</v>
      </c>
      <c r="L25" s="32">
        <f t="shared" si="1"/>
        <v>7520</v>
      </c>
      <c r="M25" s="32">
        <f t="shared" si="2"/>
        <v>5104</v>
      </c>
      <c r="N25" s="32">
        <f t="shared" si="3"/>
        <v>2416</v>
      </c>
      <c r="O25" s="33">
        <f t="shared" si="4"/>
        <v>0.32127659574468087</v>
      </c>
    </row>
    <row r="26" spans="1:15" x14ac:dyDescent="0.3">
      <c r="A26" s="27" t="s">
        <v>139</v>
      </c>
      <c r="B26" s="28" t="s">
        <v>140</v>
      </c>
      <c r="C26" s="29" t="str">
        <f t="shared" si="0"/>
        <v>Jan-26</v>
      </c>
      <c r="D26" s="27" t="s">
        <v>83</v>
      </c>
      <c r="E26" s="27" t="s">
        <v>84</v>
      </c>
      <c r="F26" s="27" t="s">
        <v>97</v>
      </c>
      <c r="G26" s="27" t="s">
        <v>98</v>
      </c>
      <c r="H26" s="27" t="s">
        <v>81</v>
      </c>
      <c r="I26" s="30">
        <v>5</v>
      </c>
      <c r="J26" s="31">
        <v>2080</v>
      </c>
      <c r="K26" s="31">
        <v>1328</v>
      </c>
      <c r="L26" s="32">
        <f t="shared" si="1"/>
        <v>10400</v>
      </c>
      <c r="M26" s="32">
        <f t="shared" si="2"/>
        <v>6640</v>
      </c>
      <c r="N26" s="32">
        <f t="shared" si="3"/>
        <v>3760</v>
      </c>
      <c r="O26" s="33">
        <f t="shared" si="4"/>
        <v>0.36153846153846153</v>
      </c>
    </row>
    <row r="27" spans="1:15" x14ac:dyDescent="0.3">
      <c r="A27" s="27" t="s">
        <v>141</v>
      </c>
      <c r="B27" s="28" t="s">
        <v>140</v>
      </c>
      <c r="C27" s="29" t="str">
        <f t="shared" si="0"/>
        <v>Jan-26</v>
      </c>
      <c r="D27" s="27" t="s">
        <v>70</v>
      </c>
      <c r="E27" s="27" t="s">
        <v>105</v>
      </c>
      <c r="F27" s="27" t="s">
        <v>85</v>
      </c>
      <c r="G27" s="27" t="s">
        <v>94</v>
      </c>
      <c r="H27" s="27" t="s">
        <v>107</v>
      </c>
      <c r="I27" s="30">
        <v>4</v>
      </c>
      <c r="J27" s="31">
        <v>1350</v>
      </c>
      <c r="K27" s="31">
        <v>861</v>
      </c>
      <c r="L27" s="32">
        <f t="shared" si="1"/>
        <v>5400</v>
      </c>
      <c r="M27" s="32">
        <f t="shared" si="2"/>
        <v>3444</v>
      </c>
      <c r="N27" s="32">
        <f t="shared" si="3"/>
        <v>1956</v>
      </c>
      <c r="O27" s="33">
        <f t="shared" si="4"/>
        <v>0.36222222222222222</v>
      </c>
    </row>
    <row r="28" spans="1:15" x14ac:dyDescent="0.3">
      <c r="A28" s="27" t="s">
        <v>142</v>
      </c>
      <c r="B28" s="28" t="s">
        <v>140</v>
      </c>
      <c r="C28" s="29" t="str">
        <f t="shared" si="0"/>
        <v>Jan-26</v>
      </c>
      <c r="D28" s="27" t="s">
        <v>83</v>
      </c>
      <c r="E28" s="27" t="s">
        <v>101</v>
      </c>
      <c r="F28" s="27" t="s">
        <v>97</v>
      </c>
      <c r="G28" s="27" t="s">
        <v>123</v>
      </c>
      <c r="H28" s="27" t="s">
        <v>74</v>
      </c>
      <c r="I28" s="30">
        <v>5</v>
      </c>
      <c r="J28" s="31">
        <v>19930</v>
      </c>
      <c r="K28" s="31">
        <v>14274</v>
      </c>
      <c r="L28" s="32">
        <f t="shared" si="1"/>
        <v>99650</v>
      </c>
      <c r="M28" s="32">
        <f t="shared" si="2"/>
        <v>71370</v>
      </c>
      <c r="N28" s="32">
        <f t="shared" si="3"/>
        <v>28280</v>
      </c>
      <c r="O28" s="33">
        <f t="shared" si="4"/>
        <v>0.28379327646763675</v>
      </c>
    </row>
    <row r="29" spans="1:15" x14ac:dyDescent="0.3">
      <c r="A29" s="27" t="s">
        <v>143</v>
      </c>
      <c r="B29" s="28" t="s">
        <v>140</v>
      </c>
      <c r="C29" s="29" t="str">
        <f t="shared" si="0"/>
        <v>Jan-26</v>
      </c>
      <c r="D29" s="27" t="s">
        <v>110</v>
      </c>
      <c r="E29" s="27" t="s">
        <v>131</v>
      </c>
      <c r="F29" s="27" t="s">
        <v>85</v>
      </c>
      <c r="G29" s="27" t="s">
        <v>86</v>
      </c>
      <c r="H29" s="27" t="s">
        <v>74</v>
      </c>
      <c r="I29" s="30">
        <v>1</v>
      </c>
      <c r="J29" s="31">
        <v>414</v>
      </c>
      <c r="K29" s="31">
        <v>252</v>
      </c>
      <c r="L29" s="32">
        <f t="shared" si="1"/>
        <v>414</v>
      </c>
      <c r="M29" s="32">
        <f t="shared" si="2"/>
        <v>252</v>
      </c>
      <c r="N29" s="32">
        <f t="shared" si="3"/>
        <v>162</v>
      </c>
      <c r="O29" s="33">
        <f t="shared" si="4"/>
        <v>0.39130434782608697</v>
      </c>
    </row>
    <row r="30" spans="1:15" x14ac:dyDescent="0.3">
      <c r="A30" s="27" t="s">
        <v>144</v>
      </c>
      <c r="B30" s="28" t="s">
        <v>145</v>
      </c>
      <c r="C30" s="29" t="str">
        <f t="shared" si="0"/>
        <v>Jan-26</v>
      </c>
      <c r="D30" s="27" t="s">
        <v>70</v>
      </c>
      <c r="E30" s="27" t="s">
        <v>105</v>
      </c>
      <c r="F30" s="27" t="s">
        <v>85</v>
      </c>
      <c r="G30" s="27" t="s">
        <v>117</v>
      </c>
      <c r="H30" s="27" t="s">
        <v>107</v>
      </c>
      <c r="I30" s="30">
        <v>1</v>
      </c>
      <c r="J30" s="31">
        <v>1870</v>
      </c>
      <c r="K30" s="31">
        <v>1332</v>
      </c>
      <c r="L30" s="32">
        <f t="shared" si="1"/>
        <v>1870</v>
      </c>
      <c r="M30" s="32">
        <f t="shared" si="2"/>
        <v>1332</v>
      </c>
      <c r="N30" s="32">
        <f t="shared" si="3"/>
        <v>538</v>
      </c>
      <c r="O30" s="33">
        <f t="shared" si="4"/>
        <v>0.28770053475935831</v>
      </c>
    </row>
    <row r="31" spans="1:15" x14ac:dyDescent="0.3">
      <c r="A31" s="27" t="s">
        <v>146</v>
      </c>
      <c r="B31" s="28" t="s">
        <v>145</v>
      </c>
      <c r="C31" s="29" t="str">
        <f t="shared" si="0"/>
        <v>Jan-26</v>
      </c>
      <c r="D31" s="27" t="s">
        <v>83</v>
      </c>
      <c r="E31" s="27" t="s">
        <v>84</v>
      </c>
      <c r="F31" s="27" t="s">
        <v>97</v>
      </c>
      <c r="G31" s="27" t="s">
        <v>98</v>
      </c>
      <c r="H31" s="27" t="s">
        <v>107</v>
      </c>
      <c r="I31" s="30">
        <v>3</v>
      </c>
      <c r="J31" s="31">
        <v>2020</v>
      </c>
      <c r="K31" s="31">
        <v>1237</v>
      </c>
      <c r="L31" s="32">
        <f t="shared" si="1"/>
        <v>6060</v>
      </c>
      <c r="M31" s="32">
        <f t="shared" si="2"/>
        <v>3711</v>
      </c>
      <c r="N31" s="32">
        <f t="shared" si="3"/>
        <v>2349</v>
      </c>
      <c r="O31" s="33">
        <f t="shared" si="4"/>
        <v>0.38762376237623763</v>
      </c>
    </row>
    <row r="32" spans="1:15" x14ac:dyDescent="0.3">
      <c r="A32" s="27" t="s">
        <v>147</v>
      </c>
      <c r="B32" s="28" t="s">
        <v>145</v>
      </c>
      <c r="C32" s="29" t="str">
        <f t="shared" si="0"/>
        <v>Jan-26</v>
      </c>
      <c r="D32" s="27" t="s">
        <v>83</v>
      </c>
      <c r="E32" s="27" t="s">
        <v>84</v>
      </c>
      <c r="F32" s="27" t="s">
        <v>85</v>
      </c>
      <c r="G32" s="27" t="s">
        <v>117</v>
      </c>
      <c r="H32" s="27" t="s">
        <v>74</v>
      </c>
      <c r="I32" s="30">
        <v>2</v>
      </c>
      <c r="J32" s="31">
        <v>1870</v>
      </c>
      <c r="K32" s="31">
        <v>1236</v>
      </c>
      <c r="L32" s="32">
        <f t="shared" si="1"/>
        <v>3740</v>
      </c>
      <c r="M32" s="32">
        <f t="shared" si="2"/>
        <v>2472</v>
      </c>
      <c r="N32" s="32">
        <f t="shared" si="3"/>
        <v>1268</v>
      </c>
      <c r="O32" s="33">
        <f t="shared" si="4"/>
        <v>0.33903743315508023</v>
      </c>
    </row>
    <row r="33" spans="1:15" x14ac:dyDescent="0.3">
      <c r="A33" s="27" t="s">
        <v>148</v>
      </c>
      <c r="B33" s="28" t="s">
        <v>149</v>
      </c>
      <c r="C33" s="29" t="str">
        <f t="shared" si="0"/>
        <v>Jan-26</v>
      </c>
      <c r="D33" s="27" t="s">
        <v>83</v>
      </c>
      <c r="E33" s="27" t="s">
        <v>101</v>
      </c>
      <c r="F33" s="27" t="s">
        <v>97</v>
      </c>
      <c r="G33" s="27" t="s">
        <v>123</v>
      </c>
      <c r="H33" s="27" t="s">
        <v>107</v>
      </c>
      <c r="I33" s="30">
        <v>5</v>
      </c>
      <c r="J33" s="31">
        <v>19920</v>
      </c>
      <c r="K33" s="31">
        <v>14127</v>
      </c>
      <c r="L33" s="32">
        <f t="shared" si="1"/>
        <v>99600</v>
      </c>
      <c r="M33" s="32">
        <f t="shared" si="2"/>
        <v>70635</v>
      </c>
      <c r="N33" s="32">
        <f t="shared" si="3"/>
        <v>28965</v>
      </c>
      <c r="O33" s="33">
        <f t="shared" si="4"/>
        <v>0.29081325301204819</v>
      </c>
    </row>
    <row r="34" spans="1:15" x14ac:dyDescent="0.3">
      <c r="A34" s="27" t="s">
        <v>150</v>
      </c>
      <c r="B34" s="28" t="s">
        <v>151</v>
      </c>
      <c r="C34" s="29" t="str">
        <f t="shared" si="0"/>
        <v>Jan-26</v>
      </c>
      <c r="D34" s="27" t="s">
        <v>110</v>
      </c>
      <c r="E34" s="27" t="s">
        <v>111</v>
      </c>
      <c r="F34" s="27" t="s">
        <v>102</v>
      </c>
      <c r="G34" s="27" t="s">
        <v>106</v>
      </c>
      <c r="H34" s="27" t="s">
        <v>74</v>
      </c>
      <c r="I34" s="30">
        <v>6</v>
      </c>
      <c r="J34" s="31">
        <v>782</v>
      </c>
      <c r="K34" s="31">
        <v>548</v>
      </c>
      <c r="L34" s="32">
        <f t="shared" si="1"/>
        <v>4692</v>
      </c>
      <c r="M34" s="32">
        <f t="shared" si="2"/>
        <v>3288</v>
      </c>
      <c r="N34" s="32">
        <f t="shared" si="3"/>
        <v>1404</v>
      </c>
      <c r="O34" s="33">
        <f t="shared" si="4"/>
        <v>0.29923273657289001</v>
      </c>
    </row>
    <row r="35" spans="1:15" x14ac:dyDescent="0.3">
      <c r="A35" s="27" t="s">
        <v>152</v>
      </c>
      <c r="B35" s="28" t="s">
        <v>153</v>
      </c>
      <c r="C35" s="29" t="str">
        <f t="shared" si="0"/>
        <v>Jan-26</v>
      </c>
      <c r="D35" s="27" t="s">
        <v>83</v>
      </c>
      <c r="E35" s="27" t="s">
        <v>84</v>
      </c>
      <c r="F35" s="27" t="s">
        <v>72</v>
      </c>
      <c r="G35" s="27" t="s">
        <v>112</v>
      </c>
      <c r="H35" s="27" t="s">
        <v>74</v>
      </c>
      <c r="I35" s="30">
        <v>1</v>
      </c>
      <c r="J35" s="31">
        <v>1810</v>
      </c>
      <c r="K35" s="31">
        <v>1220</v>
      </c>
      <c r="L35" s="32">
        <f t="shared" si="1"/>
        <v>1810</v>
      </c>
      <c r="M35" s="32">
        <f t="shared" si="2"/>
        <v>1220</v>
      </c>
      <c r="N35" s="32">
        <f t="shared" si="3"/>
        <v>590</v>
      </c>
      <c r="O35" s="33">
        <f t="shared" si="4"/>
        <v>0.32596685082872928</v>
      </c>
    </row>
    <row r="36" spans="1:15" x14ac:dyDescent="0.3">
      <c r="A36" s="27" t="s">
        <v>154</v>
      </c>
      <c r="B36" s="28" t="s">
        <v>153</v>
      </c>
      <c r="C36" s="29" t="str">
        <f t="shared" si="0"/>
        <v>Jan-26</v>
      </c>
      <c r="D36" s="27" t="s">
        <v>83</v>
      </c>
      <c r="E36" s="27" t="s">
        <v>84</v>
      </c>
      <c r="F36" s="27" t="s">
        <v>102</v>
      </c>
      <c r="G36" s="27" t="s">
        <v>155</v>
      </c>
      <c r="H36" s="27" t="s">
        <v>81</v>
      </c>
      <c r="I36" s="30">
        <v>1</v>
      </c>
      <c r="J36" s="31">
        <v>1470</v>
      </c>
      <c r="K36" s="31">
        <v>1084</v>
      </c>
      <c r="L36" s="32">
        <f t="shared" si="1"/>
        <v>1470</v>
      </c>
      <c r="M36" s="32">
        <f t="shared" si="2"/>
        <v>1084</v>
      </c>
      <c r="N36" s="32">
        <f t="shared" si="3"/>
        <v>386</v>
      </c>
      <c r="O36" s="33">
        <f t="shared" si="4"/>
        <v>0.26258503401360545</v>
      </c>
    </row>
    <row r="37" spans="1:15" x14ac:dyDescent="0.3">
      <c r="A37" s="27" t="s">
        <v>156</v>
      </c>
      <c r="B37" s="28" t="s">
        <v>153</v>
      </c>
      <c r="C37" s="29" t="str">
        <f t="shared" si="0"/>
        <v>Jan-26</v>
      </c>
      <c r="D37" s="27" t="s">
        <v>83</v>
      </c>
      <c r="E37" s="27" t="s">
        <v>101</v>
      </c>
      <c r="F37" s="27" t="s">
        <v>97</v>
      </c>
      <c r="G37" s="27" t="s">
        <v>98</v>
      </c>
      <c r="H37" s="27" t="s">
        <v>107</v>
      </c>
      <c r="I37" s="30">
        <v>3</v>
      </c>
      <c r="J37" s="31">
        <v>1990</v>
      </c>
      <c r="K37" s="31">
        <v>1278</v>
      </c>
      <c r="L37" s="32">
        <f t="shared" si="1"/>
        <v>5970</v>
      </c>
      <c r="M37" s="32">
        <f t="shared" si="2"/>
        <v>3834</v>
      </c>
      <c r="N37" s="32">
        <f t="shared" si="3"/>
        <v>2136</v>
      </c>
      <c r="O37" s="33">
        <f t="shared" si="4"/>
        <v>0.35778894472361811</v>
      </c>
    </row>
    <row r="38" spans="1:15" x14ac:dyDescent="0.3">
      <c r="A38" s="27" t="s">
        <v>157</v>
      </c>
      <c r="B38" s="28" t="s">
        <v>153</v>
      </c>
      <c r="C38" s="29" t="str">
        <f t="shared" si="0"/>
        <v>Jan-26</v>
      </c>
      <c r="D38" s="27" t="s">
        <v>83</v>
      </c>
      <c r="E38" s="27" t="s">
        <v>101</v>
      </c>
      <c r="F38" s="27" t="s">
        <v>72</v>
      </c>
      <c r="G38" s="27" t="s">
        <v>73</v>
      </c>
      <c r="H38" s="27" t="s">
        <v>81</v>
      </c>
      <c r="I38" s="30">
        <v>4</v>
      </c>
      <c r="J38" s="31">
        <v>903</v>
      </c>
      <c r="K38" s="31">
        <v>614</v>
      </c>
      <c r="L38" s="32">
        <f t="shared" si="1"/>
        <v>3612</v>
      </c>
      <c r="M38" s="32">
        <f t="shared" si="2"/>
        <v>2456</v>
      </c>
      <c r="N38" s="32">
        <f t="shared" si="3"/>
        <v>1156</v>
      </c>
      <c r="O38" s="33">
        <f t="shared" si="4"/>
        <v>0.32004429678848284</v>
      </c>
    </row>
    <row r="39" spans="1:15" x14ac:dyDescent="0.3">
      <c r="A39" s="27" t="s">
        <v>158</v>
      </c>
      <c r="B39" s="28" t="s">
        <v>159</v>
      </c>
      <c r="C39" s="29" t="str">
        <f t="shared" si="0"/>
        <v>Jan-26</v>
      </c>
      <c r="D39" s="27" t="s">
        <v>70</v>
      </c>
      <c r="E39" s="27" t="s">
        <v>105</v>
      </c>
      <c r="F39" s="27" t="s">
        <v>85</v>
      </c>
      <c r="G39" s="27" t="s">
        <v>94</v>
      </c>
      <c r="H39" s="27" t="s">
        <v>107</v>
      </c>
      <c r="I39" s="30">
        <v>5</v>
      </c>
      <c r="J39" s="31">
        <v>1370</v>
      </c>
      <c r="K39" s="31">
        <v>942</v>
      </c>
      <c r="L39" s="32">
        <f t="shared" si="1"/>
        <v>6850</v>
      </c>
      <c r="M39" s="32">
        <f t="shared" si="2"/>
        <v>4710</v>
      </c>
      <c r="N39" s="32">
        <f t="shared" si="3"/>
        <v>2140</v>
      </c>
      <c r="O39" s="33">
        <f t="shared" si="4"/>
        <v>0.31240875912408761</v>
      </c>
    </row>
    <row r="40" spans="1:15" x14ac:dyDescent="0.3">
      <c r="A40" s="27" t="s">
        <v>160</v>
      </c>
      <c r="B40" s="28" t="s">
        <v>161</v>
      </c>
      <c r="C40" s="29" t="str">
        <f t="shared" si="0"/>
        <v>Jan-26</v>
      </c>
      <c r="D40" s="27" t="s">
        <v>70</v>
      </c>
      <c r="E40" s="27" t="s">
        <v>71</v>
      </c>
      <c r="F40" s="27" t="s">
        <v>85</v>
      </c>
      <c r="G40" s="27" t="s">
        <v>86</v>
      </c>
      <c r="H40" s="27" t="s">
        <v>107</v>
      </c>
      <c r="I40" s="30">
        <v>2</v>
      </c>
      <c r="J40" s="31">
        <v>388</v>
      </c>
      <c r="K40" s="31">
        <v>280</v>
      </c>
      <c r="L40" s="32">
        <f t="shared" si="1"/>
        <v>776</v>
      </c>
      <c r="M40" s="32">
        <f t="shared" si="2"/>
        <v>560</v>
      </c>
      <c r="N40" s="32">
        <f t="shared" si="3"/>
        <v>216</v>
      </c>
      <c r="O40" s="33">
        <f t="shared" si="4"/>
        <v>0.27835051546391754</v>
      </c>
    </row>
    <row r="41" spans="1:15" x14ac:dyDescent="0.3">
      <c r="A41" s="27" t="s">
        <v>162</v>
      </c>
      <c r="B41" s="28" t="s">
        <v>161</v>
      </c>
      <c r="C41" s="29" t="str">
        <f t="shared" si="0"/>
        <v>Jan-26</v>
      </c>
      <c r="D41" s="27" t="s">
        <v>77</v>
      </c>
      <c r="E41" s="27" t="s">
        <v>89</v>
      </c>
      <c r="F41" s="27" t="s">
        <v>72</v>
      </c>
      <c r="G41" s="27" t="s">
        <v>119</v>
      </c>
      <c r="H41" s="27" t="s">
        <v>107</v>
      </c>
      <c r="I41" s="30">
        <v>4</v>
      </c>
      <c r="J41" s="31">
        <v>352</v>
      </c>
      <c r="K41" s="31">
        <v>216</v>
      </c>
      <c r="L41" s="32">
        <f t="shared" si="1"/>
        <v>1408</v>
      </c>
      <c r="M41" s="32">
        <f t="shared" si="2"/>
        <v>864</v>
      </c>
      <c r="N41" s="32">
        <f t="shared" si="3"/>
        <v>544</v>
      </c>
      <c r="O41" s="33">
        <f t="shared" si="4"/>
        <v>0.38636363636363635</v>
      </c>
    </row>
    <row r="42" spans="1:15" x14ac:dyDescent="0.3">
      <c r="A42" s="27" t="s">
        <v>163</v>
      </c>
      <c r="B42" s="28" t="s">
        <v>164</v>
      </c>
      <c r="C42" s="29" t="str">
        <f t="shared" si="0"/>
        <v>Jan-26</v>
      </c>
      <c r="D42" s="27" t="s">
        <v>83</v>
      </c>
      <c r="E42" s="27" t="s">
        <v>101</v>
      </c>
      <c r="F42" s="27" t="s">
        <v>102</v>
      </c>
      <c r="G42" s="27" t="s">
        <v>106</v>
      </c>
      <c r="H42" s="27" t="s">
        <v>107</v>
      </c>
      <c r="I42" s="30">
        <v>8</v>
      </c>
      <c r="J42" s="31">
        <v>856</v>
      </c>
      <c r="K42" s="31">
        <v>612</v>
      </c>
      <c r="L42" s="32">
        <f t="shared" si="1"/>
        <v>6848</v>
      </c>
      <c r="M42" s="32">
        <f t="shared" si="2"/>
        <v>4896</v>
      </c>
      <c r="N42" s="32">
        <f t="shared" si="3"/>
        <v>1952</v>
      </c>
      <c r="O42" s="33">
        <f t="shared" si="4"/>
        <v>0.28504672897196259</v>
      </c>
    </row>
    <row r="43" spans="1:15" x14ac:dyDescent="0.3">
      <c r="A43" s="27" t="s">
        <v>165</v>
      </c>
      <c r="B43" s="28" t="s">
        <v>164</v>
      </c>
      <c r="C43" s="29" t="str">
        <f t="shared" si="0"/>
        <v>Jan-26</v>
      </c>
      <c r="D43" s="27" t="s">
        <v>110</v>
      </c>
      <c r="E43" s="27" t="s">
        <v>111</v>
      </c>
      <c r="F43" s="27" t="s">
        <v>79</v>
      </c>
      <c r="G43" s="27" t="s">
        <v>80</v>
      </c>
      <c r="H43" s="27" t="s">
        <v>74</v>
      </c>
      <c r="I43" s="30">
        <v>10</v>
      </c>
      <c r="J43" s="31">
        <v>7430</v>
      </c>
      <c r="K43" s="31">
        <v>5766</v>
      </c>
      <c r="L43" s="32">
        <f t="shared" si="1"/>
        <v>74300</v>
      </c>
      <c r="M43" s="32">
        <f t="shared" si="2"/>
        <v>57660</v>
      </c>
      <c r="N43" s="32">
        <f t="shared" si="3"/>
        <v>16640</v>
      </c>
      <c r="O43" s="33">
        <f t="shared" si="4"/>
        <v>0.22395693135935396</v>
      </c>
    </row>
    <row r="44" spans="1:15" x14ac:dyDescent="0.3">
      <c r="A44" s="27" t="s">
        <v>166</v>
      </c>
      <c r="B44" s="28" t="s">
        <v>167</v>
      </c>
      <c r="C44" s="29" t="str">
        <f t="shared" si="0"/>
        <v>Jan-26</v>
      </c>
      <c r="D44" s="27" t="s">
        <v>83</v>
      </c>
      <c r="E44" s="27" t="s">
        <v>84</v>
      </c>
      <c r="F44" s="27" t="s">
        <v>102</v>
      </c>
      <c r="G44" s="27" t="s">
        <v>155</v>
      </c>
      <c r="H44" s="27" t="s">
        <v>81</v>
      </c>
      <c r="I44" s="30">
        <v>6</v>
      </c>
      <c r="J44" s="31">
        <v>1430</v>
      </c>
      <c r="K44" s="31">
        <v>895</v>
      </c>
      <c r="L44" s="32">
        <f t="shared" si="1"/>
        <v>8580</v>
      </c>
      <c r="M44" s="32">
        <f t="shared" si="2"/>
        <v>5370</v>
      </c>
      <c r="N44" s="32">
        <f t="shared" si="3"/>
        <v>3210</v>
      </c>
      <c r="O44" s="33">
        <f t="shared" si="4"/>
        <v>0.37412587412587411</v>
      </c>
    </row>
    <row r="45" spans="1:15" x14ac:dyDescent="0.3">
      <c r="A45" s="27" t="s">
        <v>168</v>
      </c>
      <c r="B45" s="28" t="s">
        <v>169</v>
      </c>
      <c r="C45" s="29" t="str">
        <f t="shared" si="0"/>
        <v>Feb-26</v>
      </c>
      <c r="D45" s="27" t="s">
        <v>70</v>
      </c>
      <c r="E45" s="27" t="s">
        <v>105</v>
      </c>
      <c r="F45" s="27" t="s">
        <v>97</v>
      </c>
      <c r="G45" s="27" t="s">
        <v>98</v>
      </c>
      <c r="H45" s="27" t="s">
        <v>81</v>
      </c>
      <c r="I45" s="30">
        <v>2</v>
      </c>
      <c r="J45" s="31">
        <v>2000</v>
      </c>
      <c r="K45" s="31">
        <v>1382</v>
      </c>
      <c r="L45" s="32">
        <f t="shared" si="1"/>
        <v>4000</v>
      </c>
      <c r="M45" s="32">
        <f t="shared" si="2"/>
        <v>2764</v>
      </c>
      <c r="N45" s="32">
        <f t="shared" si="3"/>
        <v>1236</v>
      </c>
      <c r="O45" s="33">
        <f t="shared" si="4"/>
        <v>0.309</v>
      </c>
    </row>
    <row r="46" spans="1:15" x14ac:dyDescent="0.3">
      <c r="A46" s="27" t="s">
        <v>170</v>
      </c>
      <c r="B46" s="28" t="s">
        <v>171</v>
      </c>
      <c r="C46" s="29" t="str">
        <f t="shared" si="0"/>
        <v>Feb-26</v>
      </c>
      <c r="D46" s="27" t="s">
        <v>83</v>
      </c>
      <c r="E46" s="27" t="s">
        <v>101</v>
      </c>
      <c r="F46" s="27" t="s">
        <v>85</v>
      </c>
      <c r="G46" s="27" t="s">
        <v>117</v>
      </c>
      <c r="H46" s="27" t="s">
        <v>81</v>
      </c>
      <c r="I46" s="30">
        <v>8</v>
      </c>
      <c r="J46" s="31">
        <v>1770</v>
      </c>
      <c r="K46" s="31">
        <v>1176</v>
      </c>
      <c r="L46" s="32">
        <f t="shared" si="1"/>
        <v>14160</v>
      </c>
      <c r="M46" s="32">
        <f t="shared" si="2"/>
        <v>9408</v>
      </c>
      <c r="N46" s="32">
        <f t="shared" si="3"/>
        <v>4752</v>
      </c>
      <c r="O46" s="33">
        <f t="shared" si="4"/>
        <v>0.33559322033898303</v>
      </c>
    </row>
    <row r="47" spans="1:15" x14ac:dyDescent="0.3">
      <c r="A47" s="27" t="s">
        <v>172</v>
      </c>
      <c r="B47" s="28" t="s">
        <v>171</v>
      </c>
      <c r="C47" s="29" t="str">
        <f t="shared" si="0"/>
        <v>Feb-26</v>
      </c>
      <c r="D47" s="27" t="s">
        <v>70</v>
      </c>
      <c r="E47" s="27" t="s">
        <v>71</v>
      </c>
      <c r="F47" s="27" t="s">
        <v>97</v>
      </c>
      <c r="G47" s="27" t="s">
        <v>98</v>
      </c>
      <c r="H47" s="27" t="s">
        <v>74</v>
      </c>
      <c r="I47" s="30">
        <v>3</v>
      </c>
      <c r="J47" s="31">
        <v>2080</v>
      </c>
      <c r="K47" s="31">
        <v>1260</v>
      </c>
      <c r="L47" s="32">
        <f t="shared" si="1"/>
        <v>6240</v>
      </c>
      <c r="M47" s="32">
        <f t="shared" si="2"/>
        <v>3780</v>
      </c>
      <c r="N47" s="32">
        <f t="shared" si="3"/>
        <v>2460</v>
      </c>
      <c r="O47" s="33">
        <f t="shared" si="4"/>
        <v>0.39423076923076922</v>
      </c>
    </row>
    <row r="48" spans="1:15" x14ac:dyDescent="0.3">
      <c r="A48" s="27" t="s">
        <v>173</v>
      </c>
      <c r="B48" s="28" t="s">
        <v>174</v>
      </c>
      <c r="C48" s="29" t="str">
        <f t="shared" si="0"/>
        <v>Feb-26</v>
      </c>
      <c r="D48" s="27" t="s">
        <v>77</v>
      </c>
      <c r="E48" s="27" t="s">
        <v>89</v>
      </c>
      <c r="F48" s="27" t="s">
        <v>72</v>
      </c>
      <c r="G48" s="27" t="s">
        <v>112</v>
      </c>
      <c r="H48" s="27" t="s">
        <v>74</v>
      </c>
      <c r="I48" s="30">
        <v>2</v>
      </c>
      <c r="J48" s="31">
        <v>1910</v>
      </c>
      <c r="K48" s="31">
        <v>1158</v>
      </c>
      <c r="L48" s="32">
        <f t="shared" si="1"/>
        <v>3820</v>
      </c>
      <c r="M48" s="32">
        <f t="shared" si="2"/>
        <v>2316</v>
      </c>
      <c r="N48" s="32">
        <f t="shared" si="3"/>
        <v>1504</v>
      </c>
      <c r="O48" s="33">
        <f t="shared" si="4"/>
        <v>0.39371727748691099</v>
      </c>
    </row>
    <row r="49" spans="1:15" x14ac:dyDescent="0.3">
      <c r="A49" s="27" t="s">
        <v>175</v>
      </c>
      <c r="B49" s="28" t="s">
        <v>174</v>
      </c>
      <c r="C49" s="29" t="str">
        <f t="shared" si="0"/>
        <v>Feb-26</v>
      </c>
      <c r="D49" s="27" t="s">
        <v>70</v>
      </c>
      <c r="E49" s="27" t="s">
        <v>71</v>
      </c>
      <c r="F49" s="27" t="s">
        <v>102</v>
      </c>
      <c r="G49" s="27" t="s">
        <v>106</v>
      </c>
      <c r="H49" s="27" t="s">
        <v>81</v>
      </c>
      <c r="I49" s="30">
        <v>3</v>
      </c>
      <c r="J49" s="31">
        <v>773</v>
      </c>
      <c r="K49" s="31">
        <v>570</v>
      </c>
      <c r="L49" s="32">
        <f t="shared" si="1"/>
        <v>2319</v>
      </c>
      <c r="M49" s="32">
        <f t="shared" si="2"/>
        <v>1710</v>
      </c>
      <c r="N49" s="32">
        <f t="shared" si="3"/>
        <v>609</v>
      </c>
      <c r="O49" s="33">
        <f t="shared" si="4"/>
        <v>0.26261319534282018</v>
      </c>
    </row>
    <row r="50" spans="1:15" x14ac:dyDescent="0.3">
      <c r="A50" s="27" t="s">
        <v>176</v>
      </c>
      <c r="B50" s="28" t="s">
        <v>174</v>
      </c>
      <c r="C50" s="29" t="str">
        <f t="shared" si="0"/>
        <v>Feb-26</v>
      </c>
      <c r="D50" s="27" t="s">
        <v>77</v>
      </c>
      <c r="E50" s="27" t="s">
        <v>89</v>
      </c>
      <c r="F50" s="27" t="s">
        <v>102</v>
      </c>
      <c r="G50" s="27" t="s">
        <v>103</v>
      </c>
      <c r="H50" s="27" t="s">
        <v>107</v>
      </c>
      <c r="I50" s="30">
        <v>10</v>
      </c>
      <c r="J50" s="31">
        <v>1890</v>
      </c>
      <c r="K50" s="31">
        <v>1452</v>
      </c>
      <c r="L50" s="32">
        <f t="shared" si="1"/>
        <v>18900</v>
      </c>
      <c r="M50" s="32">
        <f t="shared" si="2"/>
        <v>14520</v>
      </c>
      <c r="N50" s="32">
        <f t="shared" si="3"/>
        <v>4380</v>
      </c>
      <c r="O50" s="33">
        <f t="shared" si="4"/>
        <v>0.23174603174603176</v>
      </c>
    </row>
    <row r="51" spans="1:15" x14ac:dyDescent="0.3">
      <c r="A51" s="27" t="s">
        <v>177</v>
      </c>
      <c r="B51" s="28" t="s">
        <v>178</v>
      </c>
      <c r="C51" s="29" t="str">
        <f t="shared" si="0"/>
        <v>Feb-26</v>
      </c>
      <c r="D51" s="27" t="s">
        <v>83</v>
      </c>
      <c r="E51" s="27" t="s">
        <v>101</v>
      </c>
      <c r="F51" s="27" t="s">
        <v>85</v>
      </c>
      <c r="G51" s="27" t="s">
        <v>94</v>
      </c>
      <c r="H51" s="27" t="s">
        <v>81</v>
      </c>
      <c r="I51" s="30">
        <v>4</v>
      </c>
      <c r="J51" s="31">
        <v>1390</v>
      </c>
      <c r="K51" s="31">
        <v>907</v>
      </c>
      <c r="L51" s="32">
        <f t="shared" si="1"/>
        <v>5560</v>
      </c>
      <c r="M51" s="32">
        <f t="shared" si="2"/>
        <v>3628</v>
      </c>
      <c r="N51" s="32">
        <f t="shared" si="3"/>
        <v>1932</v>
      </c>
      <c r="O51" s="33">
        <f t="shared" si="4"/>
        <v>0.34748201438848919</v>
      </c>
    </row>
    <row r="52" spans="1:15" x14ac:dyDescent="0.3">
      <c r="A52" s="27" t="s">
        <v>179</v>
      </c>
      <c r="B52" s="28" t="s">
        <v>180</v>
      </c>
      <c r="C52" s="29" t="str">
        <f t="shared" si="0"/>
        <v>Feb-26</v>
      </c>
      <c r="D52" s="27" t="s">
        <v>77</v>
      </c>
      <c r="E52" s="27" t="s">
        <v>78</v>
      </c>
      <c r="F52" s="27" t="s">
        <v>97</v>
      </c>
      <c r="G52" s="27" t="s">
        <v>125</v>
      </c>
      <c r="H52" s="27" t="s">
        <v>74</v>
      </c>
      <c r="I52" s="30">
        <v>6</v>
      </c>
      <c r="J52" s="31">
        <v>24320</v>
      </c>
      <c r="K52" s="31">
        <v>16365</v>
      </c>
      <c r="L52" s="32">
        <f t="shared" si="1"/>
        <v>145920</v>
      </c>
      <c r="M52" s="32">
        <f t="shared" si="2"/>
        <v>98190</v>
      </c>
      <c r="N52" s="32">
        <f t="shared" si="3"/>
        <v>47730</v>
      </c>
      <c r="O52" s="33">
        <f t="shared" si="4"/>
        <v>0.32709703947368424</v>
      </c>
    </row>
    <row r="53" spans="1:15" x14ac:dyDescent="0.3">
      <c r="A53" s="27" t="s">
        <v>181</v>
      </c>
      <c r="B53" s="28" t="s">
        <v>182</v>
      </c>
      <c r="C53" s="29" t="str">
        <f t="shared" si="0"/>
        <v>Feb-26</v>
      </c>
      <c r="D53" s="27" t="s">
        <v>83</v>
      </c>
      <c r="E53" s="27" t="s">
        <v>84</v>
      </c>
      <c r="F53" s="27" t="s">
        <v>79</v>
      </c>
      <c r="G53" s="27" t="s">
        <v>135</v>
      </c>
      <c r="H53" s="27" t="s">
        <v>107</v>
      </c>
      <c r="I53" s="30">
        <v>3</v>
      </c>
      <c r="J53" s="31">
        <v>15250</v>
      </c>
      <c r="K53" s="31">
        <v>11231</v>
      </c>
      <c r="L53" s="32">
        <f t="shared" si="1"/>
        <v>45750</v>
      </c>
      <c r="M53" s="32">
        <f t="shared" si="2"/>
        <v>33693</v>
      </c>
      <c r="N53" s="32">
        <f t="shared" si="3"/>
        <v>12057</v>
      </c>
      <c r="O53" s="33">
        <f t="shared" si="4"/>
        <v>0.26354098360655737</v>
      </c>
    </row>
    <row r="54" spans="1:15" x14ac:dyDescent="0.3">
      <c r="A54" s="27" t="s">
        <v>183</v>
      </c>
      <c r="B54" s="28" t="s">
        <v>182</v>
      </c>
      <c r="C54" s="29" t="str">
        <f t="shared" si="0"/>
        <v>Feb-26</v>
      </c>
      <c r="D54" s="27" t="s">
        <v>110</v>
      </c>
      <c r="E54" s="27" t="s">
        <v>111</v>
      </c>
      <c r="F54" s="27" t="s">
        <v>85</v>
      </c>
      <c r="G54" s="27" t="s">
        <v>86</v>
      </c>
      <c r="H54" s="27" t="s">
        <v>107</v>
      </c>
      <c r="I54" s="30">
        <v>6</v>
      </c>
      <c r="J54" s="31">
        <v>393</v>
      </c>
      <c r="K54" s="31">
        <v>289</v>
      </c>
      <c r="L54" s="32">
        <f t="shared" si="1"/>
        <v>2358</v>
      </c>
      <c r="M54" s="32">
        <f t="shared" si="2"/>
        <v>1734</v>
      </c>
      <c r="N54" s="32">
        <f t="shared" si="3"/>
        <v>624</v>
      </c>
      <c r="O54" s="33">
        <f t="shared" si="4"/>
        <v>0.26463104325699743</v>
      </c>
    </row>
    <row r="55" spans="1:15" x14ac:dyDescent="0.3">
      <c r="A55" s="27" t="s">
        <v>184</v>
      </c>
      <c r="B55" s="28" t="s">
        <v>182</v>
      </c>
      <c r="C55" s="29" t="str">
        <f t="shared" si="0"/>
        <v>Feb-26</v>
      </c>
      <c r="D55" s="27" t="s">
        <v>70</v>
      </c>
      <c r="E55" s="27" t="s">
        <v>71</v>
      </c>
      <c r="F55" s="27" t="s">
        <v>79</v>
      </c>
      <c r="G55" s="27" t="s">
        <v>135</v>
      </c>
      <c r="H55" s="27" t="s">
        <v>74</v>
      </c>
      <c r="I55" s="30">
        <v>2</v>
      </c>
      <c r="J55" s="31">
        <v>17140</v>
      </c>
      <c r="K55" s="31">
        <v>11127</v>
      </c>
      <c r="L55" s="32">
        <f t="shared" si="1"/>
        <v>34280</v>
      </c>
      <c r="M55" s="32">
        <f t="shared" si="2"/>
        <v>22254</v>
      </c>
      <c r="N55" s="32">
        <f t="shared" si="3"/>
        <v>12026</v>
      </c>
      <c r="O55" s="33">
        <f t="shared" si="4"/>
        <v>0.35081680280046673</v>
      </c>
    </row>
    <row r="56" spans="1:15" x14ac:dyDescent="0.3">
      <c r="A56" s="27" t="s">
        <v>185</v>
      </c>
      <c r="B56" s="28" t="s">
        <v>186</v>
      </c>
      <c r="C56" s="29" t="str">
        <f t="shared" si="0"/>
        <v>Feb-26</v>
      </c>
      <c r="D56" s="27" t="s">
        <v>83</v>
      </c>
      <c r="E56" s="27" t="s">
        <v>101</v>
      </c>
      <c r="F56" s="27" t="s">
        <v>85</v>
      </c>
      <c r="G56" s="27" t="s">
        <v>117</v>
      </c>
      <c r="H56" s="27" t="s">
        <v>81</v>
      </c>
      <c r="I56" s="30">
        <v>2</v>
      </c>
      <c r="J56" s="31">
        <v>1740</v>
      </c>
      <c r="K56" s="31">
        <v>1285</v>
      </c>
      <c r="L56" s="32">
        <f t="shared" si="1"/>
        <v>3480</v>
      </c>
      <c r="M56" s="32">
        <f t="shared" si="2"/>
        <v>2570</v>
      </c>
      <c r="N56" s="32">
        <f t="shared" si="3"/>
        <v>910</v>
      </c>
      <c r="O56" s="33">
        <f t="shared" si="4"/>
        <v>0.2614942528735632</v>
      </c>
    </row>
    <row r="57" spans="1:15" x14ac:dyDescent="0.3">
      <c r="A57" s="27" t="s">
        <v>187</v>
      </c>
      <c r="B57" s="28" t="s">
        <v>188</v>
      </c>
      <c r="C57" s="29" t="str">
        <f t="shared" si="0"/>
        <v>Feb-26</v>
      </c>
      <c r="D57" s="27" t="s">
        <v>83</v>
      </c>
      <c r="E57" s="27" t="s">
        <v>84</v>
      </c>
      <c r="F57" s="27" t="s">
        <v>97</v>
      </c>
      <c r="G57" s="27" t="s">
        <v>98</v>
      </c>
      <c r="H57" s="27" t="s">
        <v>81</v>
      </c>
      <c r="I57" s="30">
        <v>6</v>
      </c>
      <c r="J57" s="31">
        <v>2090</v>
      </c>
      <c r="K57" s="31">
        <v>1462</v>
      </c>
      <c r="L57" s="32">
        <f t="shared" si="1"/>
        <v>12540</v>
      </c>
      <c r="M57" s="32">
        <f t="shared" si="2"/>
        <v>8772</v>
      </c>
      <c r="N57" s="32">
        <f t="shared" si="3"/>
        <v>3768</v>
      </c>
      <c r="O57" s="33">
        <f t="shared" si="4"/>
        <v>0.30047846889952151</v>
      </c>
    </row>
    <row r="58" spans="1:15" x14ac:dyDescent="0.3">
      <c r="A58" s="27" t="s">
        <v>189</v>
      </c>
      <c r="B58" s="28" t="s">
        <v>190</v>
      </c>
      <c r="C58" s="29" t="str">
        <f t="shared" si="0"/>
        <v>Feb-26</v>
      </c>
      <c r="D58" s="27" t="s">
        <v>70</v>
      </c>
      <c r="E58" s="27" t="s">
        <v>71</v>
      </c>
      <c r="F58" s="27" t="s">
        <v>97</v>
      </c>
      <c r="G58" s="27" t="s">
        <v>125</v>
      </c>
      <c r="H58" s="27" t="s">
        <v>74</v>
      </c>
      <c r="I58" s="30">
        <v>6</v>
      </c>
      <c r="J58" s="31">
        <v>25440</v>
      </c>
      <c r="K58" s="31">
        <v>18250</v>
      </c>
      <c r="L58" s="32">
        <f t="shared" si="1"/>
        <v>152640</v>
      </c>
      <c r="M58" s="32">
        <f t="shared" si="2"/>
        <v>109500</v>
      </c>
      <c r="N58" s="32">
        <f t="shared" si="3"/>
        <v>43140</v>
      </c>
      <c r="O58" s="33">
        <f t="shared" si="4"/>
        <v>0.28262578616352202</v>
      </c>
    </row>
    <row r="59" spans="1:15" x14ac:dyDescent="0.3">
      <c r="A59" s="27" t="s">
        <v>191</v>
      </c>
      <c r="B59" s="28" t="s">
        <v>192</v>
      </c>
      <c r="C59" s="29" t="str">
        <f t="shared" si="0"/>
        <v>Feb-26</v>
      </c>
      <c r="D59" s="27" t="s">
        <v>70</v>
      </c>
      <c r="E59" s="27" t="s">
        <v>71</v>
      </c>
      <c r="F59" s="27" t="s">
        <v>72</v>
      </c>
      <c r="G59" s="27" t="s">
        <v>73</v>
      </c>
      <c r="H59" s="27" t="s">
        <v>81</v>
      </c>
      <c r="I59" s="30">
        <v>6</v>
      </c>
      <c r="J59" s="31">
        <v>889</v>
      </c>
      <c r="K59" s="31">
        <v>538</v>
      </c>
      <c r="L59" s="32">
        <f t="shared" si="1"/>
        <v>5334</v>
      </c>
      <c r="M59" s="32">
        <f t="shared" si="2"/>
        <v>3228</v>
      </c>
      <c r="N59" s="32">
        <f t="shared" si="3"/>
        <v>2106</v>
      </c>
      <c r="O59" s="33">
        <f t="shared" si="4"/>
        <v>0.39482564679415072</v>
      </c>
    </row>
    <row r="60" spans="1:15" x14ac:dyDescent="0.3">
      <c r="A60" s="27" t="s">
        <v>193</v>
      </c>
      <c r="B60" s="28" t="s">
        <v>194</v>
      </c>
      <c r="C60" s="29" t="str">
        <f t="shared" si="0"/>
        <v>Feb-26</v>
      </c>
      <c r="D60" s="27" t="s">
        <v>110</v>
      </c>
      <c r="E60" s="27" t="s">
        <v>111</v>
      </c>
      <c r="F60" s="27" t="s">
        <v>97</v>
      </c>
      <c r="G60" s="27" t="s">
        <v>123</v>
      </c>
      <c r="H60" s="27" t="s">
        <v>81</v>
      </c>
      <c r="I60" s="30">
        <v>1</v>
      </c>
      <c r="J60" s="31">
        <v>18740</v>
      </c>
      <c r="K60" s="31">
        <v>13713</v>
      </c>
      <c r="L60" s="32">
        <f t="shared" si="1"/>
        <v>18740</v>
      </c>
      <c r="M60" s="32">
        <f t="shared" si="2"/>
        <v>13713</v>
      </c>
      <c r="N60" s="32">
        <f t="shared" si="3"/>
        <v>5027</v>
      </c>
      <c r="O60" s="33">
        <f t="shared" si="4"/>
        <v>0.26824973319103523</v>
      </c>
    </row>
    <row r="61" spans="1:15" x14ac:dyDescent="0.3">
      <c r="A61" s="27" t="s">
        <v>195</v>
      </c>
      <c r="B61" s="28" t="s">
        <v>196</v>
      </c>
      <c r="C61" s="29" t="str">
        <f t="shared" si="0"/>
        <v>Feb-26</v>
      </c>
      <c r="D61" s="27" t="s">
        <v>110</v>
      </c>
      <c r="E61" s="27" t="s">
        <v>131</v>
      </c>
      <c r="F61" s="27" t="s">
        <v>72</v>
      </c>
      <c r="G61" s="27" t="s">
        <v>73</v>
      </c>
      <c r="H61" s="27" t="s">
        <v>107</v>
      </c>
      <c r="I61" s="30">
        <v>10</v>
      </c>
      <c r="J61" s="31">
        <v>880</v>
      </c>
      <c r="K61" s="31">
        <v>544</v>
      </c>
      <c r="L61" s="32">
        <f t="shared" si="1"/>
        <v>8800</v>
      </c>
      <c r="M61" s="32">
        <f t="shared" si="2"/>
        <v>5440</v>
      </c>
      <c r="N61" s="32">
        <f t="shared" si="3"/>
        <v>3360</v>
      </c>
      <c r="O61" s="33">
        <f t="shared" si="4"/>
        <v>0.38181818181818183</v>
      </c>
    </row>
    <row r="62" spans="1:15" x14ac:dyDescent="0.3">
      <c r="A62" s="27" t="s">
        <v>197</v>
      </c>
      <c r="B62" s="28" t="s">
        <v>198</v>
      </c>
      <c r="C62" s="29" t="str">
        <f t="shared" si="0"/>
        <v>Feb-26</v>
      </c>
      <c r="D62" s="27" t="s">
        <v>70</v>
      </c>
      <c r="E62" s="27" t="s">
        <v>71</v>
      </c>
      <c r="F62" s="27" t="s">
        <v>72</v>
      </c>
      <c r="G62" s="27" t="s">
        <v>119</v>
      </c>
      <c r="H62" s="27" t="s">
        <v>107</v>
      </c>
      <c r="I62" s="30">
        <v>10</v>
      </c>
      <c r="J62" s="31">
        <v>337</v>
      </c>
      <c r="K62" s="31">
        <v>216</v>
      </c>
      <c r="L62" s="32">
        <f t="shared" si="1"/>
        <v>3370</v>
      </c>
      <c r="M62" s="32">
        <f t="shared" si="2"/>
        <v>2160</v>
      </c>
      <c r="N62" s="32">
        <f t="shared" si="3"/>
        <v>1210</v>
      </c>
      <c r="O62" s="33">
        <f t="shared" si="4"/>
        <v>0.35905044510385759</v>
      </c>
    </row>
    <row r="63" spans="1:15" x14ac:dyDescent="0.3">
      <c r="A63" s="27" t="s">
        <v>199</v>
      </c>
      <c r="B63" s="28" t="s">
        <v>198</v>
      </c>
      <c r="C63" s="29" t="str">
        <f t="shared" si="0"/>
        <v>Feb-26</v>
      </c>
      <c r="D63" s="27" t="s">
        <v>70</v>
      </c>
      <c r="E63" s="27" t="s">
        <v>105</v>
      </c>
      <c r="F63" s="27" t="s">
        <v>72</v>
      </c>
      <c r="G63" s="27" t="s">
        <v>73</v>
      </c>
      <c r="H63" s="27" t="s">
        <v>81</v>
      </c>
      <c r="I63" s="30">
        <v>4</v>
      </c>
      <c r="J63" s="31">
        <v>865</v>
      </c>
      <c r="K63" s="31">
        <v>645</v>
      </c>
      <c r="L63" s="32">
        <f t="shared" si="1"/>
        <v>3460</v>
      </c>
      <c r="M63" s="32">
        <f t="shared" si="2"/>
        <v>2580</v>
      </c>
      <c r="N63" s="32">
        <f t="shared" si="3"/>
        <v>880</v>
      </c>
      <c r="O63" s="33">
        <f t="shared" si="4"/>
        <v>0.25433526011560692</v>
      </c>
    </row>
    <row r="64" spans="1:15" x14ac:dyDescent="0.3">
      <c r="A64" s="27" t="s">
        <v>200</v>
      </c>
      <c r="B64" s="28" t="s">
        <v>201</v>
      </c>
      <c r="C64" s="29" t="str">
        <f t="shared" si="0"/>
        <v>Feb-26</v>
      </c>
      <c r="D64" s="27" t="s">
        <v>70</v>
      </c>
      <c r="E64" s="27" t="s">
        <v>71</v>
      </c>
      <c r="F64" s="27" t="s">
        <v>85</v>
      </c>
      <c r="G64" s="27" t="s">
        <v>86</v>
      </c>
      <c r="H64" s="27" t="s">
        <v>107</v>
      </c>
      <c r="I64" s="30">
        <v>2</v>
      </c>
      <c r="J64" s="31">
        <v>388</v>
      </c>
      <c r="K64" s="31">
        <v>238</v>
      </c>
      <c r="L64" s="32">
        <f t="shared" si="1"/>
        <v>776</v>
      </c>
      <c r="M64" s="32">
        <f t="shared" si="2"/>
        <v>476</v>
      </c>
      <c r="N64" s="32">
        <f t="shared" si="3"/>
        <v>300</v>
      </c>
      <c r="O64" s="33">
        <f t="shared" si="4"/>
        <v>0.38659793814432991</v>
      </c>
    </row>
    <row r="65" spans="1:15" x14ac:dyDescent="0.3">
      <c r="A65" s="27" t="s">
        <v>202</v>
      </c>
      <c r="B65" s="28" t="s">
        <v>203</v>
      </c>
      <c r="C65" s="29" t="str">
        <f t="shared" si="0"/>
        <v>Feb-26</v>
      </c>
      <c r="D65" s="27" t="s">
        <v>70</v>
      </c>
      <c r="E65" s="27" t="s">
        <v>71</v>
      </c>
      <c r="F65" s="27" t="s">
        <v>97</v>
      </c>
      <c r="G65" s="27" t="s">
        <v>98</v>
      </c>
      <c r="H65" s="27" t="s">
        <v>107</v>
      </c>
      <c r="I65" s="30">
        <v>10</v>
      </c>
      <c r="J65" s="31">
        <v>2130</v>
      </c>
      <c r="K65" s="31">
        <v>1431</v>
      </c>
      <c r="L65" s="32">
        <f t="shared" si="1"/>
        <v>21300</v>
      </c>
      <c r="M65" s="32">
        <f t="shared" si="2"/>
        <v>14310</v>
      </c>
      <c r="N65" s="32">
        <f t="shared" si="3"/>
        <v>6990</v>
      </c>
      <c r="O65" s="33">
        <f t="shared" si="4"/>
        <v>0.32816901408450705</v>
      </c>
    </row>
    <row r="66" spans="1:15" x14ac:dyDescent="0.3">
      <c r="A66" s="27" t="s">
        <v>204</v>
      </c>
      <c r="B66" s="28" t="s">
        <v>203</v>
      </c>
      <c r="C66" s="29" t="str">
        <f t="shared" ref="C66:C129" si="5">TEXT(B66,"mmm-yy")</f>
        <v>Feb-26</v>
      </c>
      <c r="D66" s="27" t="s">
        <v>110</v>
      </c>
      <c r="E66" s="27" t="s">
        <v>111</v>
      </c>
      <c r="F66" s="27" t="s">
        <v>102</v>
      </c>
      <c r="G66" s="27" t="s">
        <v>155</v>
      </c>
      <c r="H66" s="27" t="s">
        <v>81</v>
      </c>
      <c r="I66" s="30">
        <v>10</v>
      </c>
      <c r="J66" s="31">
        <v>1520</v>
      </c>
      <c r="K66" s="31">
        <v>1070</v>
      </c>
      <c r="L66" s="32">
        <f t="shared" ref="L66:L129" si="6">I66*J66</f>
        <v>15200</v>
      </c>
      <c r="M66" s="32">
        <f t="shared" ref="M66:M129" si="7">I66*K66</f>
        <v>10700</v>
      </c>
      <c r="N66" s="32">
        <f t="shared" ref="N66:N129" si="8">L66-M66</f>
        <v>4500</v>
      </c>
      <c r="O66" s="33">
        <f t="shared" ref="O66:O129" si="9">IFERROR(N66/L66,0)</f>
        <v>0.29605263157894735</v>
      </c>
    </row>
    <row r="67" spans="1:15" x14ac:dyDescent="0.3">
      <c r="A67" s="27" t="s">
        <v>205</v>
      </c>
      <c r="B67" s="28" t="s">
        <v>206</v>
      </c>
      <c r="C67" s="29" t="str">
        <f t="shared" si="5"/>
        <v>Feb-26</v>
      </c>
      <c r="D67" s="27" t="s">
        <v>70</v>
      </c>
      <c r="E67" s="27" t="s">
        <v>71</v>
      </c>
      <c r="F67" s="27" t="s">
        <v>102</v>
      </c>
      <c r="G67" s="27" t="s">
        <v>155</v>
      </c>
      <c r="H67" s="27" t="s">
        <v>107</v>
      </c>
      <c r="I67" s="30">
        <v>10</v>
      </c>
      <c r="J67" s="31">
        <v>1520</v>
      </c>
      <c r="K67" s="31">
        <v>1086</v>
      </c>
      <c r="L67" s="32">
        <f t="shared" si="6"/>
        <v>15200</v>
      </c>
      <c r="M67" s="32">
        <f t="shared" si="7"/>
        <v>10860</v>
      </c>
      <c r="N67" s="32">
        <f t="shared" si="8"/>
        <v>4340</v>
      </c>
      <c r="O67" s="33">
        <f t="shared" si="9"/>
        <v>0.28552631578947368</v>
      </c>
    </row>
    <row r="68" spans="1:15" x14ac:dyDescent="0.3">
      <c r="A68" s="27" t="s">
        <v>207</v>
      </c>
      <c r="B68" s="28" t="s">
        <v>208</v>
      </c>
      <c r="C68" s="29" t="str">
        <f t="shared" si="5"/>
        <v>Feb-26</v>
      </c>
      <c r="D68" s="27" t="s">
        <v>77</v>
      </c>
      <c r="E68" s="27" t="s">
        <v>89</v>
      </c>
      <c r="F68" s="27" t="s">
        <v>85</v>
      </c>
      <c r="G68" s="27" t="s">
        <v>94</v>
      </c>
      <c r="H68" s="27" t="s">
        <v>107</v>
      </c>
      <c r="I68" s="30">
        <v>2</v>
      </c>
      <c r="J68" s="31">
        <v>1250</v>
      </c>
      <c r="K68" s="31">
        <v>869</v>
      </c>
      <c r="L68" s="32">
        <f t="shared" si="6"/>
        <v>2500</v>
      </c>
      <c r="M68" s="32">
        <f t="shared" si="7"/>
        <v>1738</v>
      </c>
      <c r="N68" s="32">
        <f t="shared" si="8"/>
        <v>762</v>
      </c>
      <c r="O68" s="33">
        <f t="shared" si="9"/>
        <v>0.30480000000000002</v>
      </c>
    </row>
    <row r="69" spans="1:15" x14ac:dyDescent="0.3">
      <c r="A69" s="27" t="s">
        <v>209</v>
      </c>
      <c r="B69" s="28" t="s">
        <v>210</v>
      </c>
      <c r="C69" s="29" t="str">
        <f t="shared" si="5"/>
        <v>Mar-26</v>
      </c>
      <c r="D69" s="27" t="s">
        <v>70</v>
      </c>
      <c r="E69" s="27" t="s">
        <v>71</v>
      </c>
      <c r="F69" s="27" t="s">
        <v>79</v>
      </c>
      <c r="G69" s="27" t="s">
        <v>80</v>
      </c>
      <c r="H69" s="27" t="s">
        <v>74</v>
      </c>
      <c r="I69" s="30">
        <v>2</v>
      </c>
      <c r="J69" s="31">
        <v>6670</v>
      </c>
      <c r="K69" s="31">
        <v>5181</v>
      </c>
      <c r="L69" s="32">
        <f t="shared" si="6"/>
        <v>13340</v>
      </c>
      <c r="M69" s="32">
        <f t="shared" si="7"/>
        <v>10362</v>
      </c>
      <c r="N69" s="32">
        <f t="shared" si="8"/>
        <v>2978</v>
      </c>
      <c r="O69" s="33">
        <f t="shared" si="9"/>
        <v>0.22323838080959521</v>
      </c>
    </row>
    <row r="70" spans="1:15" x14ac:dyDescent="0.3">
      <c r="A70" s="27" t="s">
        <v>211</v>
      </c>
      <c r="B70" s="28" t="s">
        <v>212</v>
      </c>
      <c r="C70" s="29" t="str">
        <f t="shared" si="5"/>
        <v>Mar-26</v>
      </c>
      <c r="D70" s="27" t="s">
        <v>77</v>
      </c>
      <c r="E70" s="27" t="s">
        <v>78</v>
      </c>
      <c r="F70" s="27" t="s">
        <v>85</v>
      </c>
      <c r="G70" s="27" t="s">
        <v>117</v>
      </c>
      <c r="H70" s="27" t="s">
        <v>74</v>
      </c>
      <c r="I70" s="30">
        <v>5</v>
      </c>
      <c r="J70" s="31">
        <v>1730</v>
      </c>
      <c r="K70" s="31">
        <v>1286</v>
      </c>
      <c r="L70" s="32">
        <f t="shared" si="6"/>
        <v>8650</v>
      </c>
      <c r="M70" s="32">
        <f t="shared" si="7"/>
        <v>6430</v>
      </c>
      <c r="N70" s="32">
        <f t="shared" si="8"/>
        <v>2220</v>
      </c>
      <c r="O70" s="33">
        <f t="shared" si="9"/>
        <v>0.25664739884393062</v>
      </c>
    </row>
    <row r="71" spans="1:15" x14ac:dyDescent="0.3">
      <c r="A71" s="27" t="s">
        <v>213</v>
      </c>
      <c r="B71" s="28" t="s">
        <v>212</v>
      </c>
      <c r="C71" s="29" t="str">
        <f t="shared" si="5"/>
        <v>Mar-26</v>
      </c>
      <c r="D71" s="27" t="s">
        <v>83</v>
      </c>
      <c r="E71" s="27" t="s">
        <v>101</v>
      </c>
      <c r="F71" s="27" t="s">
        <v>97</v>
      </c>
      <c r="G71" s="27" t="s">
        <v>125</v>
      </c>
      <c r="H71" s="27" t="s">
        <v>81</v>
      </c>
      <c r="I71" s="30">
        <v>2</v>
      </c>
      <c r="J71" s="31">
        <v>25750</v>
      </c>
      <c r="K71" s="31">
        <v>17874</v>
      </c>
      <c r="L71" s="32">
        <f t="shared" si="6"/>
        <v>51500</v>
      </c>
      <c r="M71" s="32">
        <f t="shared" si="7"/>
        <v>35748</v>
      </c>
      <c r="N71" s="32">
        <f t="shared" si="8"/>
        <v>15752</v>
      </c>
      <c r="O71" s="33">
        <f t="shared" si="9"/>
        <v>0.30586407766990292</v>
      </c>
    </row>
    <row r="72" spans="1:15" x14ac:dyDescent="0.3">
      <c r="A72" s="27" t="s">
        <v>214</v>
      </c>
      <c r="B72" s="28" t="s">
        <v>215</v>
      </c>
      <c r="C72" s="29" t="str">
        <f t="shared" si="5"/>
        <v>Mar-26</v>
      </c>
      <c r="D72" s="27" t="s">
        <v>110</v>
      </c>
      <c r="E72" s="27" t="s">
        <v>131</v>
      </c>
      <c r="F72" s="27" t="s">
        <v>85</v>
      </c>
      <c r="G72" s="27" t="s">
        <v>117</v>
      </c>
      <c r="H72" s="27" t="s">
        <v>81</v>
      </c>
      <c r="I72" s="30">
        <v>2</v>
      </c>
      <c r="J72" s="31">
        <v>1800</v>
      </c>
      <c r="K72" s="31">
        <v>1312</v>
      </c>
      <c r="L72" s="32">
        <f t="shared" si="6"/>
        <v>3600</v>
      </c>
      <c r="M72" s="32">
        <f t="shared" si="7"/>
        <v>2624</v>
      </c>
      <c r="N72" s="32">
        <f t="shared" si="8"/>
        <v>976</v>
      </c>
      <c r="O72" s="33">
        <f t="shared" si="9"/>
        <v>0.27111111111111114</v>
      </c>
    </row>
    <row r="73" spans="1:15" x14ac:dyDescent="0.3">
      <c r="A73" s="27" t="s">
        <v>216</v>
      </c>
      <c r="B73" s="28" t="s">
        <v>215</v>
      </c>
      <c r="C73" s="29" t="str">
        <f t="shared" si="5"/>
        <v>Mar-26</v>
      </c>
      <c r="D73" s="27" t="s">
        <v>110</v>
      </c>
      <c r="E73" s="27" t="s">
        <v>131</v>
      </c>
      <c r="F73" s="27" t="s">
        <v>97</v>
      </c>
      <c r="G73" s="27" t="s">
        <v>125</v>
      </c>
      <c r="H73" s="27" t="s">
        <v>107</v>
      </c>
      <c r="I73" s="30">
        <v>1</v>
      </c>
      <c r="J73" s="31">
        <v>25990</v>
      </c>
      <c r="K73" s="31">
        <v>17359</v>
      </c>
      <c r="L73" s="32">
        <f t="shared" si="6"/>
        <v>25990</v>
      </c>
      <c r="M73" s="32">
        <f t="shared" si="7"/>
        <v>17359</v>
      </c>
      <c r="N73" s="32">
        <f t="shared" si="8"/>
        <v>8631</v>
      </c>
      <c r="O73" s="33">
        <f t="shared" si="9"/>
        <v>0.33208926510196229</v>
      </c>
    </row>
    <row r="74" spans="1:15" x14ac:dyDescent="0.3">
      <c r="A74" s="27" t="s">
        <v>217</v>
      </c>
      <c r="B74" s="28" t="s">
        <v>218</v>
      </c>
      <c r="C74" s="29" t="str">
        <f t="shared" si="5"/>
        <v>Mar-26</v>
      </c>
      <c r="D74" s="27" t="s">
        <v>77</v>
      </c>
      <c r="E74" s="27" t="s">
        <v>78</v>
      </c>
      <c r="F74" s="27" t="s">
        <v>97</v>
      </c>
      <c r="G74" s="27" t="s">
        <v>123</v>
      </c>
      <c r="H74" s="27" t="s">
        <v>107</v>
      </c>
      <c r="I74" s="30">
        <v>6</v>
      </c>
      <c r="J74" s="31">
        <v>19490</v>
      </c>
      <c r="K74" s="31">
        <v>12537</v>
      </c>
      <c r="L74" s="32">
        <f t="shared" si="6"/>
        <v>116940</v>
      </c>
      <c r="M74" s="32">
        <f t="shared" si="7"/>
        <v>75222</v>
      </c>
      <c r="N74" s="32">
        <f t="shared" si="8"/>
        <v>41718</v>
      </c>
      <c r="O74" s="33">
        <f t="shared" si="9"/>
        <v>0.35674704976911237</v>
      </c>
    </row>
    <row r="75" spans="1:15" x14ac:dyDescent="0.3">
      <c r="A75" s="27" t="s">
        <v>219</v>
      </c>
      <c r="B75" s="28" t="s">
        <v>218</v>
      </c>
      <c r="C75" s="29" t="str">
        <f t="shared" si="5"/>
        <v>Mar-26</v>
      </c>
      <c r="D75" s="27" t="s">
        <v>77</v>
      </c>
      <c r="E75" s="27" t="s">
        <v>89</v>
      </c>
      <c r="F75" s="27" t="s">
        <v>79</v>
      </c>
      <c r="G75" s="27" t="s">
        <v>135</v>
      </c>
      <c r="H75" s="27" t="s">
        <v>107</v>
      </c>
      <c r="I75" s="30">
        <v>6</v>
      </c>
      <c r="J75" s="31">
        <v>16590</v>
      </c>
      <c r="K75" s="31">
        <v>11598</v>
      </c>
      <c r="L75" s="32">
        <f t="shared" si="6"/>
        <v>99540</v>
      </c>
      <c r="M75" s="32">
        <f t="shared" si="7"/>
        <v>69588</v>
      </c>
      <c r="N75" s="32">
        <f t="shared" si="8"/>
        <v>29952</v>
      </c>
      <c r="O75" s="33">
        <f t="shared" si="9"/>
        <v>0.30090415913200724</v>
      </c>
    </row>
    <row r="76" spans="1:15" x14ac:dyDescent="0.3">
      <c r="A76" s="27" t="s">
        <v>220</v>
      </c>
      <c r="B76" s="28" t="s">
        <v>218</v>
      </c>
      <c r="C76" s="29" t="str">
        <f t="shared" si="5"/>
        <v>Mar-26</v>
      </c>
      <c r="D76" s="27" t="s">
        <v>83</v>
      </c>
      <c r="E76" s="27" t="s">
        <v>101</v>
      </c>
      <c r="F76" s="27" t="s">
        <v>85</v>
      </c>
      <c r="G76" s="27" t="s">
        <v>86</v>
      </c>
      <c r="H76" s="27" t="s">
        <v>74</v>
      </c>
      <c r="I76" s="30">
        <v>1</v>
      </c>
      <c r="J76" s="31">
        <v>395</v>
      </c>
      <c r="K76" s="31">
        <v>268</v>
      </c>
      <c r="L76" s="32">
        <f t="shared" si="6"/>
        <v>395</v>
      </c>
      <c r="M76" s="32">
        <f t="shared" si="7"/>
        <v>268</v>
      </c>
      <c r="N76" s="32">
        <f t="shared" si="8"/>
        <v>127</v>
      </c>
      <c r="O76" s="33">
        <f t="shared" si="9"/>
        <v>0.32151898734177214</v>
      </c>
    </row>
    <row r="77" spans="1:15" x14ac:dyDescent="0.3">
      <c r="A77" s="27" t="s">
        <v>221</v>
      </c>
      <c r="B77" s="28" t="s">
        <v>222</v>
      </c>
      <c r="C77" s="29" t="str">
        <f t="shared" si="5"/>
        <v>Mar-26</v>
      </c>
      <c r="D77" s="27" t="s">
        <v>77</v>
      </c>
      <c r="E77" s="27" t="s">
        <v>89</v>
      </c>
      <c r="F77" s="27" t="s">
        <v>102</v>
      </c>
      <c r="G77" s="27" t="s">
        <v>106</v>
      </c>
      <c r="H77" s="27" t="s">
        <v>81</v>
      </c>
      <c r="I77" s="30">
        <v>3</v>
      </c>
      <c r="J77" s="31">
        <v>863</v>
      </c>
      <c r="K77" s="31">
        <v>539</v>
      </c>
      <c r="L77" s="32">
        <f t="shared" si="6"/>
        <v>2589</v>
      </c>
      <c r="M77" s="32">
        <f t="shared" si="7"/>
        <v>1617</v>
      </c>
      <c r="N77" s="32">
        <f t="shared" si="8"/>
        <v>972</v>
      </c>
      <c r="O77" s="33">
        <f t="shared" si="9"/>
        <v>0.37543453070683663</v>
      </c>
    </row>
    <row r="78" spans="1:15" x14ac:dyDescent="0.3">
      <c r="A78" s="27" t="s">
        <v>223</v>
      </c>
      <c r="B78" s="28" t="s">
        <v>224</v>
      </c>
      <c r="C78" s="29" t="str">
        <f t="shared" si="5"/>
        <v>Mar-26</v>
      </c>
      <c r="D78" s="27" t="s">
        <v>70</v>
      </c>
      <c r="E78" s="27" t="s">
        <v>105</v>
      </c>
      <c r="F78" s="27" t="s">
        <v>102</v>
      </c>
      <c r="G78" s="27" t="s">
        <v>106</v>
      </c>
      <c r="H78" s="27" t="s">
        <v>107</v>
      </c>
      <c r="I78" s="30">
        <v>4</v>
      </c>
      <c r="J78" s="31">
        <v>811</v>
      </c>
      <c r="K78" s="31">
        <v>499</v>
      </c>
      <c r="L78" s="32">
        <f t="shared" si="6"/>
        <v>3244</v>
      </c>
      <c r="M78" s="32">
        <f t="shared" si="7"/>
        <v>1996</v>
      </c>
      <c r="N78" s="32">
        <f t="shared" si="8"/>
        <v>1248</v>
      </c>
      <c r="O78" s="33">
        <f t="shared" si="9"/>
        <v>0.38471023427866829</v>
      </c>
    </row>
    <row r="79" spans="1:15" x14ac:dyDescent="0.3">
      <c r="A79" s="27" t="s">
        <v>225</v>
      </c>
      <c r="B79" s="28" t="s">
        <v>226</v>
      </c>
      <c r="C79" s="29" t="str">
        <f t="shared" si="5"/>
        <v>Mar-26</v>
      </c>
      <c r="D79" s="27" t="s">
        <v>70</v>
      </c>
      <c r="E79" s="27" t="s">
        <v>105</v>
      </c>
      <c r="F79" s="27" t="s">
        <v>85</v>
      </c>
      <c r="G79" s="27" t="s">
        <v>86</v>
      </c>
      <c r="H79" s="27" t="s">
        <v>81</v>
      </c>
      <c r="I79" s="30">
        <v>6</v>
      </c>
      <c r="J79" s="31">
        <v>425</v>
      </c>
      <c r="K79" s="31">
        <v>247</v>
      </c>
      <c r="L79" s="32">
        <f t="shared" si="6"/>
        <v>2550</v>
      </c>
      <c r="M79" s="32">
        <f t="shared" si="7"/>
        <v>1482</v>
      </c>
      <c r="N79" s="32">
        <f t="shared" si="8"/>
        <v>1068</v>
      </c>
      <c r="O79" s="33">
        <f t="shared" si="9"/>
        <v>0.41882352941176471</v>
      </c>
    </row>
    <row r="80" spans="1:15" x14ac:dyDescent="0.3">
      <c r="A80" s="27" t="s">
        <v>227</v>
      </c>
      <c r="B80" s="28" t="s">
        <v>228</v>
      </c>
      <c r="C80" s="29" t="str">
        <f t="shared" si="5"/>
        <v>Mar-26</v>
      </c>
      <c r="D80" s="27" t="s">
        <v>83</v>
      </c>
      <c r="E80" s="27" t="s">
        <v>84</v>
      </c>
      <c r="F80" s="27" t="s">
        <v>72</v>
      </c>
      <c r="G80" s="27" t="s">
        <v>112</v>
      </c>
      <c r="H80" s="27" t="s">
        <v>81</v>
      </c>
      <c r="I80" s="30">
        <v>2</v>
      </c>
      <c r="J80" s="31">
        <v>1930</v>
      </c>
      <c r="K80" s="31">
        <v>1178</v>
      </c>
      <c r="L80" s="32">
        <f t="shared" si="6"/>
        <v>3860</v>
      </c>
      <c r="M80" s="32">
        <f t="shared" si="7"/>
        <v>2356</v>
      </c>
      <c r="N80" s="32">
        <f t="shared" si="8"/>
        <v>1504</v>
      </c>
      <c r="O80" s="33">
        <f t="shared" si="9"/>
        <v>0.38963730569948185</v>
      </c>
    </row>
    <row r="81" spans="1:15" x14ac:dyDescent="0.3">
      <c r="A81" s="27" t="s">
        <v>229</v>
      </c>
      <c r="B81" s="28" t="s">
        <v>228</v>
      </c>
      <c r="C81" s="29" t="str">
        <f t="shared" si="5"/>
        <v>Mar-26</v>
      </c>
      <c r="D81" s="27" t="s">
        <v>83</v>
      </c>
      <c r="E81" s="27" t="s">
        <v>101</v>
      </c>
      <c r="F81" s="27" t="s">
        <v>102</v>
      </c>
      <c r="G81" s="27" t="s">
        <v>230</v>
      </c>
      <c r="H81" s="27" t="s">
        <v>74</v>
      </c>
      <c r="I81" s="30">
        <v>1</v>
      </c>
      <c r="J81" s="31">
        <v>2490</v>
      </c>
      <c r="K81" s="31">
        <v>1662</v>
      </c>
      <c r="L81" s="32">
        <f t="shared" si="6"/>
        <v>2490</v>
      </c>
      <c r="M81" s="32">
        <f t="shared" si="7"/>
        <v>1662</v>
      </c>
      <c r="N81" s="32">
        <f t="shared" si="8"/>
        <v>828</v>
      </c>
      <c r="O81" s="33">
        <f t="shared" si="9"/>
        <v>0.3325301204819277</v>
      </c>
    </row>
    <row r="82" spans="1:15" x14ac:dyDescent="0.3">
      <c r="A82" s="27" t="s">
        <v>231</v>
      </c>
      <c r="B82" s="28" t="s">
        <v>228</v>
      </c>
      <c r="C82" s="29" t="str">
        <f t="shared" si="5"/>
        <v>Mar-26</v>
      </c>
      <c r="D82" s="27" t="s">
        <v>77</v>
      </c>
      <c r="E82" s="27" t="s">
        <v>78</v>
      </c>
      <c r="F82" s="27" t="s">
        <v>85</v>
      </c>
      <c r="G82" s="27" t="s">
        <v>117</v>
      </c>
      <c r="H82" s="27" t="s">
        <v>107</v>
      </c>
      <c r="I82" s="30">
        <v>8</v>
      </c>
      <c r="J82" s="31">
        <v>1770</v>
      </c>
      <c r="K82" s="31">
        <v>1101</v>
      </c>
      <c r="L82" s="32">
        <f t="shared" si="6"/>
        <v>14160</v>
      </c>
      <c r="M82" s="32">
        <f t="shared" si="7"/>
        <v>8808</v>
      </c>
      <c r="N82" s="32">
        <f t="shared" si="8"/>
        <v>5352</v>
      </c>
      <c r="O82" s="33">
        <f t="shared" si="9"/>
        <v>0.37796610169491524</v>
      </c>
    </row>
    <row r="83" spans="1:15" x14ac:dyDescent="0.3">
      <c r="A83" s="27" t="s">
        <v>232</v>
      </c>
      <c r="B83" s="28" t="s">
        <v>233</v>
      </c>
      <c r="C83" s="29" t="str">
        <f t="shared" si="5"/>
        <v>Mar-26</v>
      </c>
      <c r="D83" s="27" t="s">
        <v>83</v>
      </c>
      <c r="E83" s="27" t="s">
        <v>101</v>
      </c>
      <c r="F83" s="27" t="s">
        <v>102</v>
      </c>
      <c r="G83" s="27" t="s">
        <v>230</v>
      </c>
      <c r="H83" s="27" t="s">
        <v>81</v>
      </c>
      <c r="I83" s="30">
        <v>3</v>
      </c>
      <c r="J83" s="31">
        <v>2640</v>
      </c>
      <c r="K83" s="31">
        <v>1743</v>
      </c>
      <c r="L83" s="32">
        <f t="shared" si="6"/>
        <v>7920</v>
      </c>
      <c r="M83" s="32">
        <f t="shared" si="7"/>
        <v>5229</v>
      </c>
      <c r="N83" s="32">
        <f t="shared" si="8"/>
        <v>2691</v>
      </c>
      <c r="O83" s="33">
        <f t="shared" si="9"/>
        <v>0.33977272727272728</v>
      </c>
    </row>
    <row r="84" spans="1:15" x14ac:dyDescent="0.3">
      <c r="A84" s="27" t="s">
        <v>234</v>
      </c>
      <c r="B84" s="28" t="s">
        <v>235</v>
      </c>
      <c r="C84" s="29" t="str">
        <f t="shared" si="5"/>
        <v>Mar-26</v>
      </c>
      <c r="D84" s="27" t="s">
        <v>110</v>
      </c>
      <c r="E84" s="27" t="s">
        <v>111</v>
      </c>
      <c r="F84" s="27" t="s">
        <v>85</v>
      </c>
      <c r="G84" s="27" t="s">
        <v>117</v>
      </c>
      <c r="H84" s="27" t="s">
        <v>81</v>
      </c>
      <c r="I84" s="30">
        <v>8</v>
      </c>
      <c r="J84" s="31">
        <v>1880</v>
      </c>
      <c r="K84" s="31">
        <v>1307</v>
      </c>
      <c r="L84" s="32">
        <f t="shared" si="6"/>
        <v>15040</v>
      </c>
      <c r="M84" s="32">
        <f t="shared" si="7"/>
        <v>10456</v>
      </c>
      <c r="N84" s="32">
        <f t="shared" si="8"/>
        <v>4584</v>
      </c>
      <c r="O84" s="33">
        <f t="shared" si="9"/>
        <v>0.3047872340425532</v>
      </c>
    </row>
    <row r="85" spans="1:15" x14ac:dyDescent="0.3">
      <c r="A85" s="27" t="s">
        <v>236</v>
      </c>
      <c r="B85" s="28" t="s">
        <v>235</v>
      </c>
      <c r="C85" s="29" t="str">
        <f t="shared" si="5"/>
        <v>Mar-26</v>
      </c>
      <c r="D85" s="27" t="s">
        <v>77</v>
      </c>
      <c r="E85" s="27" t="s">
        <v>89</v>
      </c>
      <c r="F85" s="27" t="s">
        <v>72</v>
      </c>
      <c r="G85" s="27" t="s">
        <v>112</v>
      </c>
      <c r="H85" s="27" t="s">
        <v>74</v>
      </c>
      <c r="I85" s="30">
        <v>10</v>
      </c>
      <c r="J85" s="31">
        <v>1930</v>
      </c>
      <c r="K85" s="31">
        <v>1498</v>
      </c>
      <c r="L85" s="32">
        <f t="shared" si="6"/>
        <v>19300</v>
      </c>
      <c r="M85" s="32">
        <f t="shared" si="7"/>
        <v>14980</v>
      </c>
      <c r="N85" s="32">
        <f t="shared" si="8"/>
        <v>4320</v>
      </c>
      <c r="O85" s="33">
        <f t="shared" si="9"/>
        <v>0.22383419689119172</v>
      </c>
    </row>
    <row r="86" spans="1:15" x14ac:dyDescent="0.3">
      <c r="A86" s="27" t="s">
        <v>237</v>
      </c>
      <c r="B86" s="28" t="s">
        <v>238</v>
      </c>
      <c r="C86" s="29" t="str">
        <f t="shared" si="5"/>
        <v>Mar-26</v>
      </c>
      <c r="D86" s="27" t="s">
        <v>70</v>
      </c>
      <c r="E86" s="27" t="s">
        <v>105</v>
      </c>
      <c r="F86" s="27" t="s">
        <v>79</v>
      </c>
      <c r="G86" s="27" t="s">
        <v>135</v>
      </c>
      <c r="H86" s="27" t="s">
        <v>74</v>
      </c>
      <c r="I86" s="30">
        <v>3</v>
      </c>
      <c r="J86" s="31">
        <v>16320</v>
      </c>
      <c r="K86" s="31">
        <v>10551</v>
      </c>
      <c r="L86" s="32">
        <f t="shared" si="6"/>
        <v>48960</v>
      </c>
      <c r="M86" s="32">
        <f t="shared" si="7"/>
        <v>31653</v>
      </c>
      <c r="N86" s="32">
        <f t="shared" si="8"/>
        <v>17307</v>
      </c>
      <c r="O86" s="33">
        <f t="shared" si="9"/>
        <v>0.35349264705882355</v>
      </c>
    </row>
    <row r="87" spans="1:15" x14ac:dyDescent="0.3">
      <c r="A87" s="27" t="s">
        <v>239</v>
      </c>
      <c r="B87" s="28" t="s">
        <v>238</v>
      </c>
      <c r="C87" s="29" t="str">
        <f t="shared" si="5"/>
        <v>Mar-26</v>
      </c>
      <c r="D87" s="27" t="s">
        <v>110</v>
      </c>
      <c r="E87" s="27" t="s">
        <v>111</v>
      </c>
      <c r="F87" s="27" t="s">
        <v>85</v>
      </c>
      <c r="G87" s="27" t="s">
        <v>117</v>
      </c>
      <c r="H87" s="27" t="s">
        <v>81</v>
      </c>
      <c r="I87" s="30">
        <v>5</v>
      </c>
      <c r="J87" s="31">
        <v>1780</v>
      </c>
      <c r="K87" s="31">
        <v>1354</v>
      </c>
      <c r="L87" s="32">
        <f t="shared" si="6"/>
        <v>8900</v>
      </c>
      <c r="M87" s="32">
        <f t="shared" si="7"/>
        <v>6770</v>
      </c>
      <c r="N87" s="32">
        <f t="shared" si="8"/>
        <v>2130</v>
      </c>
      <c r="O87" s="33">
        <f t="shared" si="9"/>
        <v>0.23932584269662921</v>
      </c>
    </row>
    <row r="88" spans="1:15" x14ac:dyDescent="0.3">
      <c r="A88" s="27" t="s">
        <v>240</v>
      </c>
      <c r="B88" s="28" t="s">
        <v>238</v>
      </c>
      <c r="C88" s="29" t="str">
        <f t="shared" si="5"/>
        <v>Mar-26</v>
      </c>
      <c r="D88" s="27" t="s">
        <v>77</v>
      </c>
      <c r="E88" s="27" t="s">
        <v>89</v>
      </c>
      <c r="F88" s="27" t="s">
        <v>79</v>
      </c>
      <c r="G88" s="27" t="s">
        <v>91</v>
      </c>
      <c r="H88" s="27" t="s">
        <v>107</v>
      </c>
      <c r="I88" s="30">
        <v>2</v>
      </c>
      <c r="J88" s="31">
        <v>4830</v>
      </c>
      <c r="K88" s="31">
        <v>2922</v>
      </c>
      <c r="L88" s="32">
        <f t="shared" si="6"/>
        <v>9660</v>
      </c>
      <c r="M88" s="32">
        <f t="shared" si="7"/>
        <v>5844</v>
      </c>
      <c r="N88" s="32">
        <f t="shared" si="8"/>
        <v>3816</v>
      </c>
      <c r="O88" s="33">
        <f t="shared" si="9"/>
        <v>0.3950310559006211</v>
      </c>
    </row>
    <row r="89" spans="1:15" x14ac:dyDescent="0.3">
      <c r="A89" s="27" t="s">
        <v>241</v>
      </c>
      <c r="B89" s="28" t="s">
        <v>242</v>
      </c>
      <c r="C89" s="29" t="str">
        <f t="shared" si="5"/>
        <v>Mar-26</v>
      </c>
      <c r="D89" s="27" t="s">
        <v>110</v>
      </c>
      <c r="E89" s="27" t="s">
        <v>131</v>
      </c>
      <c r="F89" s="27" t="s">
        <v>79</v>
      </c>
      <c r="G89" s="27" t="s">
        <v>80</v>
      </c>
      <c r="H89" s="27" t="s">
        <v>74</v>
      </c>
      <c r="I89" s="30">
        <v>1</v>
      </c>
      <c r="J89" s="31">
        <v>6920</v>
      </c>
      <c r="K89" s="31">
        <v>4815</v>
      </c>
      <c r="L89" s="32">
        <f t="shared" si="6"/>
        <v>6920</v>
      </c>
      <c r="M89" s="32">
        <f t="shared" si="7"/>
        <v>4815</v>
      </c>
      <c r="N89" s="32">
        <f t="shared" si="8"/>
        <v>2105</v>
      </c>
      <c r="O89" s="33">
        <f t="shared" si="9"/>
        <v>0.30419075144508673</v>
      </c>
    </row>
    <row r="90" spans="1:15" x14ac:dyDescent="0.3">
      <c r="A90" s="27" t="s">
        <v>243</v>
      </c>
      <c r="B90" s="28" t="s">
        <v>242</v>
      </c>
      <c r="C90" s="29" t="str">
        <f t="shared" si="5"/>
        <v>Mar-26</v>
      </c>
      <c r="D90" s="27" t="s">
        <v>83</v>
      </c>
      <c r="E90" s="27" t="s">
        <v>101</v>
      </c>
      <c r="F90" s="27" t="s">
        <v>85</v>
      </c>
      <c r="G90" s="27" t="s">
        <v>86</v>
      </c>
      <c r="H90" s="27" t="s">
        <v>74</v>
      </c>
      <c r="I90" s="30">
        <v>5</v>
      </c>
      <c r="J90" s="31">
        <v>413</v>
      </c>
      <c r="K90" s="31">
        <v>276</v>
      </c>
      <c r="L90" s="32">
        <f t="shared" si="6"/>
        <v>2065</v>
      </c>
      <c r="M90" s="32">
        <f t="shared" si="7"/>
        <v>1380</v>
      </c>
      <c r="N90" s="32">
        <f t="shared" si="8"/>
        <v>685</v>
      </c>
      <c r="O90" s="33">
        <f t="shared" si="9"/>
        <v>0.33171912832929784</v>
      </c>
    </row>
    <row r="91" spans="1:15" x14ac:dyDescent="0.3">
      <c r="A91" s="27" t="s">
        <v>244</v>
      </c>
      <c r="B91" s="28" t="s">
        <v>242</v>
      </c>
      <c r="C91" s="29" t="str">
        <f t="shared" si="5"/>
        <v>Mar-26</v>
      </c>
      <c r="D91" s="27" t="s">
        <v>70</v>
      </c>
      <c r="E91" s="27" t="s">
        <v>105</v>
      </c>
      <c r="F91" s="27" t="s">
        <v>102</v>
      </c>
      <c r="G91" s="27" t="s">
        <v>230</v>
      </c>
      <c r="H91" s="27" t="s">
        <v>81</v>
      </c>
      <c r="I91" s="30">
        <v>10</v>
      </c>
      <c r="J91" s="31">
        <v>2670</v>
      </c>
      <c r="K91" s="31">
        <v>1864</v>
      </c>
      <c r="L91" s="32">
        <f t="shared" si="6"/>
        <v>26700</v>
      </c>
      <c r="M91" s="32">
        <f t="shared" si="7"/>
        <v>18640</v>
      </c>
      <c r="N91" s="32">
        <f t="shared" si="8"/>
        <v>8060</v>
      </c>
      <c r="O91" s="33">
        <f t="shared" si="9"/>
        <v>0.30187265917602996</v>
      </c>
    </row>
    <row r="92" spans="1:15" x14ac:dyDescent="0.3">
      <c r="A92" s="27" t="s">
        <v>245</v>
      </c>
      <c r="B92" s="28" t="s">
        <v>242</v>
      </c>
      <c r="C92" s="29" t="str">
        <f t="shared" si="5"/>
        <v>Mar-26</v>
      </c>
      <c r="D92" s="27" t="s">
        <v>83</v>
      </c>
      <c r="E92" s="27" t="s">
        <v>84</v>
      </c>
      <c r="F92" s="27" t="s">
        <v>97</v>
      </c>
      <c r="G92" s="27" t="s">
        <v>125</v>
      </c>
      <c r="H92" s="27" t="s">
        <v>74</v>
      </c>
      <c r="I92" s="30">
        <v>1</v>
      </c>
      <c r="J92" s="31">
        <v>26220</v>
      </c>
      <c r="K92" s="31">
        <v>17534</v>
      </c>
      <c r="L92" s="32">
        <f t="shared" si="6"/>
        <v>26220</v>
      </c>
      <c r="M92" s="32">
        <f t="shared" si="7"/>
        <v>17534</v>
      </c>
      <c r="N92" s="32">
        <f t="shared" si="8"/>
        <v>8686</v>
      </c>
      <c r="O92" s="33">
        <f t="shared" si="9"/>
        <v>0.33127383676582761</v>
      </c>
    </row>
    <row r="93" spans="1:15" x14ac:dyDescent="0.3">
      <c r="A93" s="27" t="s">
        <v>246</v>
      </c>
      <c r="B93" s="28" t="s">
        <v>242</v>
      </c>
      <c r="C93" s="29" t="str">
        <f t="shared" si="5"/>
        <v>Mar-26</v>
      </c>
      <c r="D93" s="27" t="s">
        <v>83</v>
      </c>
      <c r="E93" s="27" t="s">
        <v>84</v>
      </c>
      <c r="F93" s="27" t="s">
        <v>97</v>
      </c>
      <c r="G93" s="27" t="s">
        <v>98</v>
      </c>
      <c r="H93" s="27" t="s">
        <v>107</v>
      </c>
      <c r="I93" s="30">
        <v>2</v>
      </c>
      <c r="J93" s="31">
        <v>2160</v>
      </c>
      <c r="K93" s="31">
        <v>1529</v>
      </c>
      <c r="L93" s="32">
        <f t="shared" si="6"/>
        <v>4320</v>
      </c>
      <c r="M93" s="32">
        <f t="shared" si="7"/>
        <v>3058</v>
      </c>
      <c r="N93" s="32">
        <f t="shared" si="8"/>
        <v>1262</v>
      </c>
      <c r="O93" s="33">
        <f t="shared" si="9"/>
        <v>0.29212962962962963</v>
      </c>
    </row>
    <row r="94" spans="1:15" x14ac:dyDescent="0.3">
      <c r="A94" s="27" t="s">
        <v>247</v>
      </c>
      <c r="B94" s="28" t="s">
        <v>242</v>
      </c>
      <c r="C94" s="29" t="str">
        <f t="shared" si="5"/>
        <v>Mar-26</v>
      </c>
      <c r="D94" s="27" t="s">
        <v>77</v>
      </c>
      <c r="E94" s="27" t="s">
        <v>78</v>
      </c>
      <c r="F94" s="27" t="s">
        <v>85</v>
      </c>
      <c r="G94" s="27" t="s">
        <v>86</v>
      </c>
      <c r="H94" s="27" t="s">
        <v>74</v>
      </c>
      <c r="I94" s="30">
        <v>5</v>
      </c>
      <c r="J94" s="31">
        <v>405</v>
      </c>
      <c r="K94" s="31">
        <v>282</v>
      </c>
      <c r="L94" s="32">
        <f t="shared" si="6"/>
        <v>2025</v>
      </c>
      <c r="M94" s="32">
        <f t="shared" si="7"/>
        <v>1410</v>
      </c>
      <c r="N94" s="32">
        <f t="shared" si="8"/>
        <v>615</v>
      </c>
      <c r="O94" s="33">
        <f t="shared" si="9"/>
        <v>0.3037037037037037</v>
      </c>
    </row>
    <row r="95" spans="1:15" x14ac:dyDescent="0.3">
      <c r="A95" s="27" t="s">
        <v>248</v>
      </c>
      <c r="B95" s="28" t="s">
        <v>249</v>
      </c>
      <c r="C95" s="29" t="str">
        <f t="shared" si="5"/>
        <v>Mar-26</v>
      </c>
      <c r="D95" s="27" t="s">
        <v>70</v>
      </c>
      <c r="E95" s="27" t="s">
        <v>105</v>
      </c>
      <c r="F95" s="27" t="s">
        <v>97</v>
      </c>
      <c r="G95" s="27" t="s">
        <v>98</v>
      </c>
      <c r="H95" s="27" t="s">
        <v>81</v>
      </c>
      <c r="I95" s="30">
        <v>6</v>
      </c>
      <c r="J95" s="31">
        <v>1960</v>
      </c>
      <c r="K95" s="31">
        <v>1193</v>
      </c>
      <c r="L95" s="32">
        <f t="shared" si="6"/>
        <v>11760</v>
      </c>
      <c r="M95" s="32">
        <f t="shared" si="7"/>
        <v>7158</v>
      </c>
      <c r="N95" s="32">
        <f t="shared" si="8"/>
        <v>4602</v>
      </c>
      <c r="O95" s="33">
        <f t="shared" si="9"/>
        <v>0.39132653061224487</v>
      </c>
    </row>
    <row r="96" spans="1:15" x14ac:dyDescent="0.3">
      <c r="A96" s="27" t="s">
        <v>250</v>
      </c>
      <c r="B96" s="28" t="s">
        <v>251</v>
      </c>
      <c r="C96" s="29" t="str">
        <f t="shared" si="5"/>
        <v>Mar-26</v>
      </c>
      <c r="D96" s="27" t="s">
        <v>77</v>
      </c>
      <c r="E96" s="27" t="s">
        <v>78</v>
      </c>
      <c r="F96" s="27" t="s">
        <v>72</v>
      </c>
      <c r="G96" s="27" t="s">
        <v>73</v>
      </c>
      <c r="H96" s="27" t="s">
        <v>81</v>
      </c>
      <c r="I96" s="30">
        <v>3</v>
      </c>
      <c r="J96" s="31">
        <v>888</v>
      </c>
      <c r="K96" s="31">
        <v>592</v>
      </c>
      <c r="L96" s="32">
        <f t="shared" si="6"/>
        <v>2664</v>
      </c>
      <c r="M96" s="32">
        <f t="shared" si="7"/>
        <v>1776</v>
      </c>
      <c r="N96" s="32">
        <f t="shared" si="8"/>
        <v>888</v>
      </c>
      <c r="O96" s="33">
        <f t="shared" si="9"/>
        <v>0.33333333333333331</v>
      </c>
    </row>
    <row r="97" spans="1:15" x14ac:dyDescent="0.3">
      <c r="A97" s="27" t="s">
        <v>252</v>
      </c>
      <c r="B97" s="28" t="s">
        <v>253</v>
      </c>
      <c r="C97" s="29" t="str">
        <f t="shared" si="5"/>
        <v>Mar-26</v>
      </c>
      <c r="D97" s="27" t="s">
        <v>77</v>
      </c>
      <c r="E97" s="27" t="s">
        <v>78</v>
      </c>
      <c r="F97" s="27" t="s">
        <v>102</v>
      </c>
      <c r="G97" s="27" t="s">
        <v>103</v>
      </c>
      <c r="H97" s="27" t="s">
        <v>74</v>
      </c>
      <c r="I97" s="30">
        <v>8</v>
      </c>
      <c r="J97" s="31">
        <v>1950</v>
      </c>
      <c r="K97" s="31">
        <v>1219</v>
      </c>
      <c r="L97" s="32">
        <f t="shared" si="6"/>
        <v>15600</v>
      </c>
      <c r="M97" s="32">
        <f t="shared" si="7"/>
        <v>9752</v>
      </c>
      <c r="N97" s="32">
        <f t="shared" si="8"/>
        <v>5848</v>
      </c>
      <c r="O97" s="33">
        <f t="shared" si="9"/>
        <v>0.37487179487179489</v>
      </c>
    </row>
    <row r="98" spans="1:15" x14ac:dyDescent="0.3">
      <c r="A98" s="27" t="s">
        <v>254</v>
      </c>
      <c r="B98" s="28" t="s">
        <v>255</v>
      </c>
      <c r="C98" s="29" t="str">
        <f t="shared" si="5"/>
        <v>Mar-26</v>
      </c>
      <c r="D98" s="27" t="s">
        <v>70</v>
      </c>
      <c r="E98" s="27" t="s">
        <v>71</v>
      </c>
      <c r="F98" s="27" t="s">
        <v>102</v>
      </c>
      <c r="G98" s="27" t="s">
        <v>230</v>
      </c>
      <c r="H98" s="27" t="s">
        <v>74</v>
      </c>
      <c r="I98" s="30">
        <v>6</v>
      </c>
      <c r="J98" s="31">
        <v>2480</v>
      </c>
      <c r="K98" s="31">
        <v>1910</v>
      </c>
      <c r="L98" s="32">
        <f t="shared" si="6"/>
        <v>14880</v>
      </c>
      <c r="M98" s="32">
        <f t="shared" si="7"/>
        <v>11460</v>
      </c>
      <c r="N98" s="32">
        <f t="shared" si="8"/>
        <v>3420</v>
      </c>
      <c r="O98" s="33">
        <f t="shared" si="9"/>
        <v>0.22983870967741934</v>
      </c>
    </row>
    <row r="99" spans="1:15" x14ac:dyDescent="0.3">
      <c r="A99" s="27" t="s">
        <v>256</v>
      </c>
      <c r="B99" s="28" t="s">
        <v>257</v>
      </c>
      <c r="C99" s="29" t="str">
        <f t="shared" si="5"/>
        <v>Mar-26</v>
      </c>
      <c r="D99" s="27" t="s">
        <v>77</v>
      </c>
      <c r="E99" s="27" t="s">
        <v>78</v>
      </c>
      <c r="F99" s="27" t="s">
        <v>79</v>
      </c>
      <c r="G99" s="27" t="s">
        <v>80</v>
      </c>
      <c r="H99" s="27" t="s">
        <v>81</v>
      </c>
      <c r="I99" s="30">
        <v>1</v>
      </c>
      <c r="J99" s="31">
        <v>7000</v>
      </c>
      <c r="K99" s="31">
        <v>5049</v>
      </c>
      <c r="L99" s="32">
        <f t="shared" si="6"/>
        <v>7000</v>
      </c>
      <c r="M99" s="32">
        <f t="shared" si="7"/>
        <v>5049</v>
      </c>
      <c r="N99" s="32">
        <f t="shared" si="8"/>
        <v>1951</v>
      </c>
      <c r="O99" s="33">
        <f t="shared" si="9"/>
        <v>0.27871428571428569</v>
      </c>
    </row>
    <row r="100" spans="1:15" x14ac:dyDescent="0.3">
      <c r="A100" s="27" t="s">
        <v>258</v>
      </c>
      <c r="B100" s="28" t="s">
        <v>259</v>
      </c>
      <c r="C100" s="29" t="str">
        <f t="shared" si="5"/>
        <v>Mar-26</v>
      </c>
      <c r="D100" s="27" t="s">
        <v>83</v>
      </c>
      <c r="E100" s="27" t="s">
        <v>101</v>
      </c>
      <c r="F100" s="27" t="s">
        <v>72</v>
      </c>
      <c r="G100" s="27" t="s">
        <v>119</v>
      </c>
      <c r="H100" s="27" t="s">
        <v>107</v>
      </c>
      <c r="I100" s="30">
        <v>4</v>
      </c>
      <c r="J100" s="31">
        <v>366</v>
      </c>
      <c r="K100" s="31">
        <v>233</v>
      </c>
      <c r="L100" s="32">
        <f t="shared" si="6"/>
        <v>1464</v>
      </c>
      <c r="M100" s="32">
        <f t="shared" si="7"/>
        <v>932</v>
      </c>
      <c r="N100" s="32">
        <f t="shared" si="8"/>
        <v>532</v>
      </c>
      <c r="O100" s="33">
        <f t="shared" si="9"/>
        <v>0.36338797814207652</v>
      </c>
    </row>
    <row r="101" spans="1:15" x14ac:dyDescent="0.3">
      <c r="A101" s="27" t="s">
        <v>260</v>
      </c>
      <c r="B101" s="28" t="s">
        <v>259</v>
      </c>
      <c r="C101" s="29" t="str">
        <f t="shared" si="5"/>
        <v>Mar-26</v>
      </c>
      <c r="D101" s="27" t="s">
        <v>83</v>
      </c>
      <c r="E101" s="27" t="s">
        <v>84</v>
      </c>
      <c r="F101" s="27" t="s">
        <v>97</v>
      </c>
      <c r="G101" s="27" t="s">
        <v>123</v>
      </c>
      <c r="H101" s="27" t="s">
        <v>81</v>
      </c>
      <c r="I101" s="30">
        <v>4</v>
      </c>
      <c r="J101" s="31">
        <v>18800</v>
      </c>
      <c r="K101" s="31">
        <v>11343</v>
      </c>
      <c r="L101" s="32">
        <f t="shared" si="6"/>
        <v>75200</v>
      </c>
      <c r="M101" s="32">
        <f t="shared" si="7"/>
        <v>45372</v>
      </c>
      <c r="N101" s="32">
        <f t="shared" si="8"/>
        <v>29828</v>
      </c>
      <c r="O101" s="33">
        <f t="shared" si="9"/>
        <v>0.39664893617021274</v>
      </c>
    </row>
    <row r="102" spans="1:15" x14ac:dyDescent="0.3">
      <c r="A102" s="27" t="s">
        <v>261</v>
      </c>
      <c r="B102" s="28" t="s">
        <v>262</v>
      </c>
      <c r="C102" s="29" t="str">
        <f t="shared" si="5"/>
        <v>Mar-26</v>
      </c>
      <c r="D102" s="27" t="s">
        <v>77</v>
      </c>
      <c r="E102" s="27" t="s">
        <v>78</v>
      </c>
      <c r="F102" s="27" t="s">
        <v>72</v>
      </c>
      <c r="G102" s="27" t="s">
        <v>73</v>
      </c>
      <c r="H102" s="27" t="s">
        <v>74</v>
      </c>
      <c r="I102" s="30">
        <v>2</v>
      </c>
      <c r="J102" s="31">
        <v>922</v>
      </c>
      <c r="K102" s="31">
        <v>542</v>
      </c>
      <c r="L102" s="32">
        <f t="shared" si="6"/>
        <v>1844</v>
      </c>
      <c r="M102" s="32">
        <f t="shared" si="7"/>
        <v>1084</v>
      </c>
      <c r="N102" s="32">
        <f t="shared" si="8"/>
        <v>760</v>
      </c>
      <c r="O102" s="33">
        <f t="shared" si="9"/>
        <v>0.4121475054229935</v>
      </c>
    </row>
    <row r="103" spans="1:15" x14ac:dyDescent="0.3">
      <c r="A103" s="27" t="s">
        <v>263</v>
      </c>
      <c r="B103" s="28" t="s">
        <v>262</v>
      </c>
      <c r="C103" s="29" t="str">
        <f t="shared" si="5"/>
        <v>Mar-26</v>
      </c>
      <c r="D103" s="27" t="s">
        <v>83</v>
      </c>
      <c r="E103" s="27" t="s">
        <v>84</v>
      </c>
      <c r="F103" s="27" t="s">
        <v>97</v>
      </c>
      <c r="G103" s="27" t="s">
        <v>123</v>
      </c>
      <c r="H103" s="27" t="s">
        <v>81</v>
      </c>
      <c r="I103" s="30">
        <v>3</v>
      </c>
      <c r="J103" s="31">
        <v>18940</v>
      </c>
      <c r="K103" s="31">
        <v>12155</v>
      </c>
      <c r="L103" s="32">
        <f t="shared" si="6"/>
        <v>56820</v>
      </c>
      <c r="M103" s="32">
        <f t="shared" si="7"/>
        <v>36465</v>
      </c>
      <c r="N103" s="32">
        <f t="shared" si="8"/>
        <v>20355</v>
      </c>
      <c r="O103" s="33">
        <f t="shared" si="9"/>
        <v>0.3582365364308342</v>
      </c>
    </row>
    <row r="104" spans="1:15" x14ac:dyDescent="0.3">
      <c r="A104" s="27" t="s">
        <v>264</v>
      </c>
      <c r="B104" s="28" t="s">
        <v>265</v>
      </c>
      <c r="C104" s="29" t="str">
        <f t="shared" si="5"/>
        <v>Mar-26</v>
      </c>
      <c r="D104" s="27" t="s">
        <v>83</v>
      </c>
      <c r="E104" s="27" t="s">
        <v>84</v>
      </c>
      <c r="F104" s="27" t="s">
        <v>85</v>
      </c>
      <c r="G104" s="27" t="s">
        <v>86</v>
      </c>
      <c r="H104" s="27" t="s">
        <v>107</v>
      </c>
      <c r="I104" s="30">
        <v>6</v>
      </c>
      <c r="J104" s="31">
        <v>385</v>
      </c>
      <c r="K104" s="31">
        <v>238</v>
      </c>
      <c r="L104" s="32">
        <f t="shared" si="6"/>
        <v>2310</v>
      </c>
      <c r="M104" s="32">
        <f t="shared" si="7"/>
        <v>1428</v>
      </c>
      <c r="N104" s="32">
        <f t="shared" si="8"/>
        <v>882</v>
      </c>
      <c r="O104" s="33">
        <f t="shared" si="9"/>
        <v>0.38181818181818183</v>
      </c>
    </row>
    <row r="105" spans="1:15" x14ac:dyDescent="0.3">
      <c r="A105" s="27" t="s">
        <v>266</v>
      </c>
      <c r="B105" s="28" t="s">
        <v>265</v>
      </c>
      <c r="C105" s="29" t="str">
        <f t="shared" si="5"/>
        <v>Mar-26</v>
      </c>
      <c r="D105" s="27" t="s">
        <v>83</v>
      </c>
      <c r="E105" s="27" t="s">
        <v>84</v>
      </c>
      <c r="F105" s="27" t="s">
        <v>102</v>
      </c>
      <c r="G105" s="27" t="s">
        <v>155</v>
      </c>
      <c r="H105" s="27" t="s">
        <v>81</v>
      </c>
      <c r="I105" s="30">
        <v>5</v>
      </c>
      <c r="J105" s="31">
        <v>1600</v>
      </c>
      <c r="K105" s="31">
        <v>1151</v>
      </c>
      <c r="L105" s="32">
        <f t="shared" si="6"/>
        <v>8000</v>
      </c>
      <c r="M105" s="32">
        <f t="shared" si="7"/>
        <v>5755</v>
      </c>
      <c r="N105" s="32">
        <f t="shared" si="8"/>
        <v>2245</v>
      </c>
      <c r="O105" s="33">
        <f t="shared" si="9"/>
        <v>0.28062500000000001</v>
      </c>
    </row>
    <row r="106" spans="1:15" x14ac:dyDescent="0.3">
      <c r="A106" s="27" t="s">
        <v>267</v>
      </c>
      <c r="B106" s="28" t="s">
        <v>265</v>
      </c>
      <c r="C106" s="29" t="str">
        <f t="shared" si="5"/>
        <v>Mar-26</v>
      </c>
      <c r="D106" s="27" t="s">
        <v>83</v>
      </c>
      <c r="E106" s="27" t="s">
        <v>84</v>
      </c>
      <c r="F106" s="27" t="s">
        <v>72</v>
      </c>
      <c r="G106" s="27" t="s">
        <v>112</v>
      </c>
      <c r="H106" s="27" t="s">
        <v>74</v>
      </c>
      <c r="I106" s="30">
        <v>10</v>
      </c>
      <c r="J106" s="31">
        <v>1890</v>
      </c>
      <c r="K106" s="31">
        <v>1162</v>
      </c>
      <c r="L106" s="32">
        <f t="shared" si="6"/>
        <v>18900</v>
      </c>
      <c r="M106" s="32">
        <f t="shared" si="7"/>
        <v>11620</v>
      </c>
      <c r="N106" s="32">
        <f t="shared" si="8"/>
        <v>7280</v>
      </c>
      <c r="O106" s="33">
        <f t="shared" si="9"/>
        <v>0.38518518518518519</v>
      </c>
    </row>
    <row r="107" spans="1:15" x14ac:dyDescent="0.3">
      <c r="A107" s="27" t="s">
        <v>268</v>
      </c>
      <c r="B107" s="28" t="s">
        <v>269</v>
      </c>
      <c r="C107" s="29" t="str">
        <f t="shared" si="5"/>
        <v>Mar-26</v>
      </c>
      <c r="D107" s="27" t="s">
        <v>77</v>
      </c>
      <c r="E107" s="27" t="s">
        <v>78</v>
      </c>
      <c r="F107" s="27" t="s">
        <v>102</v>
      </c>
      <c r="G107" s="27" t="s">
        <v>106</v>
      </c>
      <c r="H107" s="27" t="s">
        <v>81</v>
      </c>
      <c r="I107" s="30">
        <v>8</v>
      </c>
      <c r="J107" s="31">
        <v>858</v>
      </c>
      <c r="K107" s="31">
        <v>543</v>
      </c>
      <c r="L107" s="32">
        <f t="shared" si="6"/>
        <v>6864</v>
      </c>
      <c r="M107" s="32">
        <f t="shared" si="7"/>
        <v>4344</v>
      </c>
      <c r="N107" s="32">
        <f t="shared" si="8"/>
        <v>2520</v>
      </c>
      <c r="O107" s="33">
        <f t="shared" si="9"/>
        <v>0.36713286713286714</v>
      </c>
    </row>
    <row r="108" spans="1:15" x14ac:dyDescent="0.3">
      <c r="A108" s="27" t="s">
        <v>270</v>
      </c>
      <c r="B108" s="28" t="s">
        <v>271</v>
      </c>
      <c r="C108" s="29" t="str">
        <f t="shared" si="5"/>
        <v>Mar-26</v>
      </c>
      <c r="D108" s="27" t="s">
        <v>77</v>
      </c>
      <c r="E108" s="27" t="s">
        <v>89</v>
      </c>
      <c r="F108" s="27" t="s">
        <v>97</v>
      </c>
      <c r="G108" s="27" t="s">
        <v>125</v>
      </c>
      <c r="H108" s="27" t="s">
        <v>107</v>
      </c>
      <c r="I108" s="30">
        <v>3</v>
      </c>
      <c r="J108" s="31">
        <v>25160</v>
      </c>
      <c r="K108" s="31">
        <v>17791</v>
      </c>
      <c r="L108" s="32">
        <f t="shared" si="6"/>
        <v>75480</v>
      </c>
      <c r="M108" s="32">
        <f t="shared" si="7"/>
        <v>53373</v>
      </c>
      <c r="N108" s="32">
        <f t="shared" si="8"/>
        <v>22107</v>
      </c>
      <c r="O108" s="33">
        <f t="shared" si="9"/>
        <v>0.29288553259141492</v>
      </c>
    </row>
    <row r="109" spans="1:15" x14ac:dyDescent="0.3">
      <c r="A109" s="27" t="s">
        <v>272</v>
      </c>
      <c r="B109" s="28" t="s">
        <v>271</v>
      </c>
      <c r="C109" s="29" t="str">
        <f t="shared" si="5"/>
        <v>Mar-26</v>
      </c>
      <c r="D109" s="27" t="s">
        <v>110</v>
      </c>
      <c r="E109" s="27" t="s">
        <v>111</v>
      </c>
      <c r="F109" s="27" t="s">
        <v>79</v>
      </c>
      <c r="G109" s="27" t="s">
        <v>80</v>
      </c>
      <c r="H109" s="27" t="s">
        <v>81</v>
      </c>
      <c r="I109" s="30">
        <v>2</v>
      </c>
      <c r="J109" s="31">
        <v>6790</v>
      </c>
      <c r="K109" s="31">
        <v>5085</v>
      </c>
      <c r="L109" s="32">
        <f t="shared" si="6"/>
        <v>13580</v>
      </c>
      <c r="M109" s="32">
        <f t="shared" si="7"/>
        <v>10170</v>
      </c>
      <c r="N109" s="32">
        <f t="shared" si="8"/>
        <v>3410</v>
      </c>
      <c r="O109" s="33">
        <f t="shared" si="9"/>
        <v>0.25110456553755522</v>
      </c>
    </row>
    <row r="110" spans="1:15" x14ac:dyDescent="0.3">
      <c r="A110" s="27" t="s">
        <v>273</v>
      </c>
      <c r="B110" s="28" t="s">
        <v>274</v>
      </c>
      <c r="C110" s="29" t="str">
        <f t="shared" si="5"/>
        <v>Mar-26</v>
      </c>
      <c r="D110" s="27" t="s">
        <v>110</v>
      </c>
      <c r="E110" s="27" t="s">
        <v>111</v>
      </c>
      <c r="F110" s="27" t="s">
        <v>72</v>
      </c>
      <c r="G110" s="27" t="s">
        <v>112</v>
      </c>
      <c r="H110" s="27" t="s">
        <v>107</v>
      </c>
      <c r="I110" s="30">
        <v>5</v>
      </c>
      <c r="J110" s="31">
        <v>1970</v>
      </c>
      <c r="K110" s="31">
        <v>1350</v>
      </c>
      <c r="L110" s="32">
        <f t="shared" si="6"/>
        <v>9850</v>
      </c>
      <c r="M110" s="32">
        <f t="shared" si="7"/>
        <v>6750</v>
      </c>
      <c r="N110" s="32">
        <f t="shared" si="8"/>
        <v>3100</v>
      </c>
      <c r="O110" s="33">
        <f t="shared" si="9"/>
        <v>0.31472081218274112</v>
      </c>
    </row>
    <row r="111" spans="1:15" x14ac:dyDescent="0.3">
      <c r="A111" s="27" t="s">
        <v>275</v>
      </c>
      <c r="B111" s="28" t="s">
        <v>276</v>
      </c>
      <c r="C111" s="29" t="str">
        <f t="shared" si="5"/>
        <v>Mar-26</v>
      </c>
      <c r="D111" s="27" t="s">
        <v>110</v>
      </c>
      <c r="E111" s="27" t="s">
        <v>131</v>
      </c>
      <c r="F111" s="27" t="s">
        <v>72</v>
      </c>
      <c r="G111" s="27" t="s">
        <v>112</v>
      </c>
      <c r="H111" s="27" t="s">
        <v>74</v>
      </c>
      <c r="I111" s="30">
        <v>1</v>
      </c>
      <c r="J111" s="31">
        <v>1830</v>
      </c>
      <c r="K111" s="31">
        <v>1182</v>
      </c>
      <c r="L111" s="32">
        <f t="shared" si="6"/>
        <v>1830</v>
      </c>
      <c r="M111" s="32">
        <f t="shared" si="7"/>
        <v>1182</v>
      </c>
      <c r="N111" s="32">
        <f t="shared" si="8"/>
        <v>648</v>
      </c>
      <c r="O111" s="33">
        <f t="shared" si="9"/>
        <v>0.35409836065573769</v>
      </c>
    </row>
    <row r="112" spans="1:15" x14ac:dyDescent="0.3">
      <c r="A112" s="27" t="s">
        <v>277</v>
      </c>
      <c r="B112" s="28" t="s">
        <v>276</v>
      </c>
      <c r="C112" s="29" t="str">
        <f t="shared" si="5"/>
        <v>Mar-26</v>
      </c>
      <c r="D112" s="27" t="s">
        <v>83</v>
      </c>
      <c r="E112" s="27" t="s">
        <v>84</v>
      </c>
      <c r="F112" s="27" t="s">
        <v>102</v>
      </c>
      <c r="G112" s="27" t="s">
        <v>230</v>
      </c>
      <c r="H112" s="27" t="s">
        <v>74</v>
      </c>
      <c r="I112" s="30">
        <v>1</v>
      </c>
      <c r="J112" s="31">
        <v>2460</v>
      </c>
      <c r="K112" s="31">
        <v>1723</v>
      </c>
      <c r="L112" s="32">
        <f t="shared" si="6"/>
        <v>2460</v>
      </c>
      <c r="M112" s="32">
        <f t="shared" si="7"/>
        <v>1723</v>
      </c>
      <c r="N112" s="32">
        <f t="shared" si="8"/>
        <v>737</v>
      </c>
      <c r="O112" s="33">
        <f t="shared" si="9"/>
        <v>0.29959349593495938</v>
      </c>
    </row>
    <row r="113" spans="1:15" x14ac:dyDescent="0.3">
      <c r="A113" s="27" t="s">
        <v>278</v>
      </c>
      <c r="B113" s="28" t="s">
        <v>276</v>
      </c>
      <c r="C113" s="29" t="str">
        <f t="shared" si="5"/>
        <v>Mar-26</v>
      </c>
      <c r="D113" s="27" t="s">
        <v>110</v>
      </c>
      <c r="E113" s="27" t="s">
        <v>111</v>
      </c>
      <c r="F113" s="27" t="s">
        <v>72</v>
      </c>
      <c r="G113" s="27" t="s">
        <v>112</v>
      </c>
      <c r="H113" s="27" t="s">
        <v>81</v>
      </c>
      <c r="I113" s="30">
        <v>2</v>
      </c>
      <c r="J113" s="31">
        <v>2050</v>
      </c>
      <c r="K113" s="31">
        <v>1451</v>
      </c>
      <c r="L113" s="32">
        <f t="shared" si="6"/>
        <v>4100</v>
      </c>
      <c r="M113" s="32">
        <f t="shared" si="7"/>
        <v>2902</v>
      </c>
      <c r="N113" s="32">
        <f t="shared" si="8"/>
        <v>1198</v>
      </c>
      <c r="O113" s="33">
        <f t="shared" si="9"/>
        <v>0.29219512195121949</v>
      </c>
    </row>
    <row r="114" spans="1:15" x14ac:dyDescent="0.3">
      <c r="A114" s="27" t="s">
        <v>279</v>
      </c>
      <c r="B114" s="28" t="s">
        <v>280</v>
      </c>
      <c r="C114" s="29" t="str">
        <f t="shared" si="5"/>
        <v>Apr-26</v>
      </c>
      <c r="D114" s="27" t="s">
        <v>70</v>
      </c>
      <c r="E114" s="27" t="s">
        <v>71</v>
      </c>
      <c r="F114" s="27" t="s">
        <v>72</v>
      </c>
      <c r="G114" s="27" t="s">
        <v>119</v>
      </c>
      <c r="H114" s="27" t="s">
        <v>107</v>
      </c>
      <c r="I114" s="30">
        <v>2</v>
      </c>
      <c r="J114" s="31">
        <v>375</v>
      </c>
      <c r="K114" s="31">
        <v>273</v>
      </c>
      <c r="L114" s="32">
        <f t="shared" si="6"/>
        <v>750</v>
      </c>
      <c r="M114" s="32">
        <f t="shared" si="7"/>
        <v>546</v>
      </c>
      <c r="N114" s="32">
        <f t="shared" si="8"/>
        <v>204</v>
      </c>
      <c r="O114" s="33">
        <f t="shared" si="9"/>
        <v>0.27200000000000002</v>
      </c>
    </row>
    <row r="115" spans="1:15" x14ac:dyDescent="0.3">
      <c r="A115" s="27" t="s">
        <v>281</v>
      </c>
      <c r="B115" s="28" t="s">
        <v>280</v>
      </c>
      <c r="C115" s="29" t="str">
        <f t="shared" si="5"/>
        <v>Apr-26</v>
      </c>
      <c r="D115" s="27" t="s">
        <v>77</v>
      </c>
      <c r="E115" s="27" t="s">
        <v>89</v>
      </c>
      <c r="F115" s="27" t="s">
        <v>102</v>
      </c>
      <c r="G115" s="27" t="s">
        <v>155</v>
      </c>
      <c r="H115" s="27" t="s">
        <v>74</v>
      </c>
      <c r="I115" s="30">
        <v>5</v>
      </c>
      <c r="J115" s="31">
        <v>1530</v>
      </c>
      <c r="K115" s="31">
        <v>1000</v>
      </c>
      <c r="L115" s="32">
        <f t="shared" si="6"/>
        <v>7650</v>
      </c>
      <c r="M115" s="32">
        <f t="shared" si="7"/>
        <v>5000</v>
      </c>
      <c r="N115" s="32">
        <f t="shared" si="8"/>
        <v>2650</v>
      </c>
      <c r="O115" s="33">
        <f t="shared" si="9"/>
        <v>0.34640522875816993</v>
      </c>
    </row>
    <row r="116" spans="1:15" x14ac:dyDescent="0.3">
      <c r="A116" s="27" t="s">
        <v>282</v>
      </c>
      <c r="B116" s="28" t="s">
        <v>280</v>
      </c>
      <c r="C116" s="29" t="str">
        <f t="shared" si="5"/>
        <v>Apr-26</v>
      </c>
      <c r="D116" s="27" t="s">
        <v>110</v>
      </c>
      <c r="E116" s="27" t="s">
        <v>131</v>
      </c>
      <c r="F116" s="27" t="s">
        <v>72</v>
      </c>
      <c r="G116" s="27" t="s">
        <v>73</v>
      </c>
      <c r="H116" s="27" t="s">
        <v>107</v>
      </c>
      <c r="I116" s="30">
        <v>1</v>
      </c>
      <c r="J116" s="31">
        <v>966</v>
      </c>
      <c r="K116" s="31">
        <v>702</v>
      </c>
      <c r="L116" s="32">
        <f t="shared" si="6"/>
        <v>966</v>
      </c>
      <c r="M116" s="32">
        <f t="shared" si="7"/>
        <v>702</v>
      </c>
      <c r="N116" s="32">
        <f t="shared" si="8"/>
        <v>264</v>
      </c>
      <c r="O116" s="33">
        <f t="shared" si="9"/>
        <v>0.27329192546583853</v>
      </c>
    </row>
    <row r="117" spans="1:15" x14ac:dyDescent="0.3">
      <c r="A117" s="27" t="s">
        <v>283</v>
      </c>
      <c r="B117" s="28" t="s">
        <v>284</v>
      </c>
      <c r="C117" s="29" t="str">
        <f t="shared" si="5"/>
        <v>Apr-26</v>
      </c>
      <c r="D117" s="27" t="s">
        <v>110</v>
      </c>
      <c r="E117" s="27" t="s">
        <v>131</v>
      </c>
      <c r="F117" s="27" t="s">
        <v>97</v>
      </c>
      <c r="G117" s="27" t="s">
        <v>123</v>
      </c>
      <c r="H117" s="27" t="s">
        <v>107</v>
      </c>
      <c r="I117" s="30">
        <v>3</v>
      </c>
      <c r="J117" s="31">
        <v>19410</v>
      </c>
      <c r="K117" s="31">
        <v>13986</v>
      </c>
      <c r="L117" s="32">
        <f t="shared" si="6"/>
        <v>58230</v>
      </c>
      <c r="M117" s="32">
        <f t="shared" si="7"/>
        <v>41958</v>
      </c>
      <c r="N117" s="32">
        <f t="shared" si="8"/>
        <v>16272</v>
      </c>
      <c r="O117" s="33">
        <f t="shared" si="9"/>
        <v>0.27944358578052553</v>
      </c>
    </row>
    <row r="118" spans="1:15" x14ac:dyDescent="0.3">
      <c r="A118" s="27" t="s">
        <v>285</v>
      </c>
      <c r="B118" s="28" t="s">
        <v>284</v>
      </c>
      <c r="C118" s="29" t="str">
        <f t="shared" si="5"/>
        <v>Apr-26</v>
      </c>
      <c r="D118" s="27" t="s">
        <v>110</v>
      </c>
      <c r="E118" s="27" t="s">
        <v>111</v>
      </c>
      <c r="F118" s="27" t="s">
        <v>97</v>
      </c>
      <c r="G118" s="27" t="s">
        <v>123</v>
      </c>
      <c r="H118" s="27" t="s">
        <v>107</v>
      </c>
      <c r="I118" s="30">
        <v>5</v>
      </c>
      <c r="J118" s="31">
        <v>18290</v>
      </c>
      <c r="K118" s="31">
        <v>12860</v>
      </c>
      <c r="L118" s="32">
        <f t="shared" si="6"/>
        <v>91450</v>
      </c>
      <c r="M118" s="32">
        <f t="shared" si="7"/>
        <v>64300</v>
      </c>
      <c r="N118" s="32">
        <f t="shared" si="8"/>
        <v>27150</v>
      </c>
      <c r="O118" s="33">
        <f t="shared" si="9"/>
        <v>0.29688354291962821</v>
      </c>
    </row>
    <row r="119" spans="1:15" x14ac:dyDescent="0.3">
      <c r="A119" s="27" t="s">
        <v>286</v>
      </c>
      <c r="B119" s="28" t="s">
        <v>284</v>
      </c>
      <c r="C119" s="29" t="str">
        <f t="shared" si="5"/>
        <v>Apr-26</v>
      </c>
      <c r="D119" s="27" t="s">
        <v>70</v>
      </c>
      <c r="E119" s="27" t="s">
        <v>71</v>
      </c>
      <c r="F119" s="27" t="s">
        <v>97</v>
      </c>
      <c r="G119" s="27" t="s">
        <v>98</v>
      </c>
      <c r="H119" s="27" t="s">
        <v>107</v>
      </c>
      <c r="I119" s="30">
        <v>1</v>
      </c>
      <c r="J119" s="31">
        <v>1950</v>
      </c>
      <c r="K119" s="31">
        <v>1501</v>
      </c>
      <c r="L119" s="32">
        <f t="shared" si="6"/>
        <v>1950</v>
      </c>
      <c r="M119" s="32">
        <f t="shared" si="7"/>
        <v>1501</v>
      </c>
      <c r="N119" s="32">
        <f t="shared" si="8"/>
        <v>449</v>
      </c>
      <c r="O119" s="33">
        <f t="shared" si="9"/>
        <v>0.23025641025641025</v>
      </c>
    </row>
    <row r="120" spans="1:15" x14ac:dyDescent="0.3">
      <c r="A120" s="27" t="s">
        <v>287</v>
      </c>
      <c r="B120" s="28" t="s">
        <v>284</v>
      </c>
      <c r="C120" s="29" t="str">
        <f t="shared" si="5"/>
        <v>Apr-26</v>
      </c>
      <c r="D120" s="27" t="s">
        <v>110</v>
      </c>
      <c r="E120" s="27" t="s">
        <v>131</v>
      </c>
      <c r="F120" s="27" t="s">
        <v>72</v>
      </c>
      <c r="G120" s="27" t="s">
        <v>119</v>
      </c>
      <c r="H120" s="27" t="s">
        <v>81</v>
      </c>
      <c r="I120" s="30">
        <v>4</v>
      </c>
      <c r="J120" s="31">
        <v>354</v>
      </c>
      <c r="K120" s="31">
        <v>274</v>
      </c>
      <c r="L120" s="32">
        <f t="shared" si="6"/>
        <v>1416</v>
      </c>
      <c r="M120" s="32">
        <f t="shared" si="7"/>
        <v>1096</v>
      </c>
      <c r="N120" s="32">
        <f t="shared" si="8"/>
        <v>320</v>
      </c>
      <c r="O120" s="33">
        <f t="shared" si="9"/>
        <v>0.22598870056497175</v>
      </c>
    </row>
    <row r="121" spans="1:15" x14ac:dyDescent="0.3">
      <c r="A121" s="27" t="s">
        <v>288</v>
      </c>
      <c r="B121" s="28" t="s">
        <v>289</v>
      </c>
      <c r="C121" s="29" t="str">
        <f t="shared" si="5"/>
        <v>Apr-26</v>
      </c>
      <c r="D121" s="27" t="s">
        <v>70</v>
      </c>
      <c r="E121" s="27" t="s">
        <v>71</v>
      </c>
      <c r="F121" s="27" t="s">
        <v>72</v>
      </c>
      <c r="G121" s="27" t="s">
        <v>73</v>
      </c>
      <c r="H121" s="27" t="s">
        <v>74</v>
      </c>
      <c r="I121" s="30">
        <v>10</v>
      </c>
      <c r="J121" s="31">
        <v>894</v>
      </c>
      <c r="K121" s="31">
        <v>631</v>
      </c>
      <c r="L121" s="32">
        <f t="shared" si="6"/>
        <v>8940</v>
      </c>
      <c r="M121" s="32">
        <f t="shared" si="7"/>
        <v>6310</v>
      </c>
      <c r="N121" s="32">
        <f t="shared" si="8"/>
        <v>2630</v>
      </c>
      <c r="O121" s="33">
        <f t="shared" si="9"/>
        <v>0.2941834451901566</v>
      </c>
    </row>
    <row r="122" spans="1:15" x14ac:dyDescent="0.3">
      <c r="A122" s="27" t="s">
        <v>290</v>
      </c>
      <c r="B122" s="28" t="s">
        <v>289</v>
      </c>
      <c r="C122" s="29" t="str">
        <f t="shared" si="5"/>
        <v>Apr-26</v>
      </c>
      <c r="D122" s="27" t="s">
        <v>70</v>
      </c>
      <c r="E122" s="27" t="s">
        <v>105</v>
      </c>
      <c r="F122" s="27" t="s">
        <v>79</v>
      </c>
      <c r="G122" s="27" t="s">
        <v>80</v>
      </c>
      <c r="H122" s="27" t="s">
        <v>81</v>
      </c>
      <c r="I122" s="30">
        <v>4</v>
      </c>
      <c r="J122" s="31">
        <v>7200</v>
      </c>
      <c r="K122" s="31">
        <v>4896</v>
      </c>
      <c r="L122" s="32">
        <f t="shared" si="6"/>
        <v>28800</v>
      </c>
      <c r="M122" s="32">
        <f t="shared" si="7"/>
        <v>19584</v>
      </c>
      <c r="N122" s="32">
        <f t="shared" si="8"/>
        <v>9216</v>
      </c>
      <c r="O122" s="33">
        <f t="shared" si="9"/>
        <v>0.32</v>
      </c>
    </row>
    <row r="123" spans="1:15" x14ac:dyDescent="0.3">
      <c r="A123" s="27" t="s">
        <v>291</v>
      </c>
      <c r="B123" s="28" t="s">
        <v>292</v>
      </c>
      <c r="C123" s="29" t="str">
        <f t="shared" si="5"/>
        <v>Apr-26</v>
      </c>
      <c r="D123" s="27" t="s">
        <v>110</v>
      </c>
      <c r="E123" s="27" t="s">
        <v>131</v>
      </c>
      <c r="F123" s="27" t="s">
        <v>79</v>
      </c>
      <c r="G123" s="27" t="s">
        <v>91</v>
      </c>
      <c r="H123" s="27" t="s">
        <v>107</v>
      </c>
      <c r="I123" s="30">
        <v>4</v>
      </c>
      <c r="J123" s="31">
        <v>4410</v>
      </c>
      <c r="K123" s="31">
        <v>2764</v>
      </c>
      <c r="L123" s="32">
        <f t="shared" si="6"/>
        <v>17640</v>
      </c>
      <c r="M123" s="32">
        <f t="shared" si="7"/>
        <v>11056</v>
      </c>
      <c r="N123" s="32">
        <f t="shared" si="8"/>
        <v>6584</v>
      </c>
      <c r="O123" s="33">
        <f t="shared" si="9"/>
        <v>0.37324263038548755</v>
      </c>
    </row>
    <row r="124" spans="1:15" x14ac:dyDescent="0.3">
      <c r="A124" s="27" t="s">
        <v>293</v>
      </c>
      <c r="B124" s="28" t="s">
        <v>294</v>
      </c>
      <c r="C124" s="29" t="str">
        <f t="shared" si="5"/>
        <v>Apr-26</v>
      </c>
      <c r="D124" s="27" t="s">
        <v>110</v>
      </c>
      <c r="E124" s="27" t="s">
        <v>131</v>
      </c>
      <c r="F124" s="27" t="s">
        <v>72</v>
      </c>
      <c r="G124" s="27" t="s">
        <v>112</v>
      </c>
      <c r="H124" s="27" t="s">
        <v>81</v>
      </c>
      <c r="I124" s="30">
        <v>2</v>
      </c>
      <c r="J124" s="31">
        <v>2050</v>
      </c>
      <c r="K124" s="31">
        <v>1422</v>
      </c>
      <c r="L124" s="32">
        <f t="shared" si="6"/>
        <v>4100</v>
      </c>
      <c r="M124" s="32">
        <f t="shared" si="7"/>
        <v>2844</v>
      </c>
      <c r="N124" s="32">
        <f t="shared" si="8"/>
        <v>1256</v>
      </c>
      <c r="O124" s="33">
        <f t="shared" si="9"/>
        <v>0.30634146341463414</v>
      </c>
    </row>
    <row r="125" spans="1:15" x14ac:dyDescent="0.3">
      <c r="A125" s="27" t="s">
        <v>295</v>
      </c>
      <c r="B125" s="28" t="s">
        <v>296</v>
      </c>
      <c r="C125" s="29" t="str">
        <f t="shared" si="5"/>
        <v>Apr-26</v>
      </c>
      <c r="D125" s="27" t="s">
        <v>77</v>
      </c>
      <c r="E125" s="27" t="s">
        <v>89</v>
      </c>
      <c r="F125" s="27" t="s">
        <v>79</v>
      </c>
      <c r="G125" s="27" t="s">
        <v>80</v>
      </c>
      <c r="H125" s="27" t="s">
        <v>74</v>
      </c>
      <c r="I125" s="30">
        <v>1</v>
      </c>
      <c r="J125" s="31">
        <v>6940</v>
      </c>
      <c r="K125" s="31">
        <v>5190</v>
      </c>
      <c r="L125" s="32">
        <f t="shared" si="6"/>
        <v>6940</v>
      </c>
      <c r="M125" s="32">
        <f t="shared" si="7"/>
        <v>5190</v>
      </c>
      <c r="N125" s="32">
        <f t="shared" si="8"/>
        <v>1750</v>
      </c>
      <c r="O125" s="33">
        <f t="shared" si="9"/>
        <v>0.25216138328530258</v>
      </c>
    </row>
    <row r="126" spans="1:15" x14ac:dyDescent="0.3">
      <c r="A126" s="27" t="s">
        <v>297</v>
      </c>
      <c r="B126" s="28" t="s">
        <v>298</v>
      </c>
      <c r="C126" s="29" t="str">
        <f t="shared" si="5"/>
        <v>Apr-26</v>
      </c>
      <c r="D126" s="27" t="s">
        <v>83</v>
      </c>
      <c r="E126" s="27" t="s">
        <v>84</v>
      </c>
      <c r="F126" s="27" t="s">
        <v>85</v>
      </c>
      <c r="G126" s="27" t="s">
        <v>86</v>
      </c>
      <c r="H126" s="27" t="s">
        <v>107</v>
      </c>
      <c r="I126" s="30">
        <v>2</v>
      </c>
      <c r="J126" s="31">
        <v>422</v>
      </c>
      <c r="K126" s="31">
        <v>253</v>
      </c>
      <c r="L126" s="32">
        <f t="shared" si="6"/>
        <v>844</v>
      </c>
      <c r="M126" s="32">
        <f t="shared" si="7"/>
        <v>506</v>
      </c>
      <c r="N126" s="32">
        <f t="shared" si="8"/>
        <v>338</v>
      </c>
      <c r="O126" s="33">
        <f t="shared" si="9"/>
        <v>0.40047393364928913</v>
      </c>
    </row>
    <row r="127" spans="1:15" x14ac:dyDescent="0.3">
      <c r="A127" s="27" t="s">
        <v>299</v>
      </c>
      <c r="B127" s="28" t="s">
        <v>300</v>
      </c>
      <c r="C127" s="29" t="str">
        <f t="shared" si="5"/>
        <v>Apr-26</v>
      </c>
      <c r="D127" s="27" t="s">
        <v>110</v>
      </c>
      <c r="E127" s="27" t="s">
        <v>111</v>
      </c>
      <c r="F127" s="27" t="s">
        <v>85</v>
      </c>
      <c r="G127" s="27" t="s">
        <v>86</v>
      </c>
      <c r="H127" s="27" t="s">
        <v>74</v>
      </c>
      <c r="I127" s="30">
        <v>1</v>
      </c>
      <c r="J127" s="31">
        <v>415</v>
      </c>
      <c r="K127" s="31">
        <v>253</v>
      </c>
      <c r="L127" s="32">
        <f t="shared" si="6"/>
        <v>415</v>
      </c>
      <c r="M127" s="32">
        <f t="shared" si="7"/>
        <v>253</v>
      </c>
      <c r="N127" s="32">
        <f t="shared" si="8"/>
        <v>162</v>
      </c>
      <c r="O127" s="33">
        <f t="shared" si="9"/>
        <v>0.39036144578313253</v>
      </c>
    </row>
    <row r="128" spans="1:15" x14ac:dyDescent="0.3">
      <c r="A128" s="27" t="s">
        <v>301</v>
      </c>
      <c r="B128" s="28" t="s">
        <v>300</v>
      </c>
      <c r="C128" s="29" t="str">
        <f t="shared" si="5"/>
        <v>Apr-26</v>
      </c>
      <c r="D128" s="27" t="s">
        <v>110</v>
      </c>
      <c r="E128" s="27" t="s">
        <v>111</v>
      </c>
      <c r="F128" s="27" t="s">
        <v>72</v>
      </c>
      <c r="G128" s="27" t="s">
        <v>119</v>
      </c>
      <c r="H128" s="27" t="s">
        <v>81</v>
      </c>
      <c r="I128" s="30">
        <v>2</v>
      </c>
      <c r="J128" s="31">
        <v>346</v>
      </c>
      <c r="K128" s="31">
        <v>227</v>
      </c>
      <c r="L128" s="32">
        <f t="shared" si="6"/>
        <v>692</v>
      </c>
      <c r="M128" s="32">
        <f t="shared" si="7"/>
        <v>454</v>
      </c>
      <c r="N128" s="32">
        <f t="shared" si="8"/>
        <v>238</v>
      </c>
      <c r="O128" s="33">
        <f t="shared" si="9"/>
        <v>0.34393063583815031</v>
      </c>
    </row>
    <row r="129" spans="1:15" x14ac:dyDescent="0.3">
      <c r="A129" s="27" t="s">
        <v>302</v>
      </c>
      <c r="B129" s="28" t="s">
        <v>300</v>
      </c>
      <c r="C129" s="29" t="str">
        <f t="shared" si="5"/>
        <v>Apr-26</v>
      </c>
      <c r="D129" s="27" t="s">
        <v>83</v>
      </c>
      <c r="E129" s="27" t="s">
        <v>101</v>
      </c>
      <c r="F129" s="27" t="s">
        <v>85</v>
      </c>
      <c r="G129" s="27" t="s">
        <v>86</v>
      </c>
      <c r="H129" s="27" t="s">
        <v>107</v>
      </c>
      <c r="I129" s="30">
        <v>2</v>
      </c>
      <c r="J129" s="31">
        <v>385</v>
      </c>
      <c r="K129" s="31">
        <v>259</v>
      </c>
      <c r="L129" s="32">
        <f t="shared" si="6"/>
        <v>770</v>
      </c>
      <c r="M129" s="32">
        <f t="shared" si="7"/>
        <v>518</v>
      </c>
      <c r="N129" s="32">
        <f t="shared" si="8"/>
        <v>252</v>
      </c>
      <c r="O129" s="33">
        <f t="shared" si="9"/>
        <v>0.32727272727272727</v>
      </c>
    </row>
    <row r="130" spans="1:15" x14ac:dyDescent="0.3">
      <c r="A130" s="27" t="s">
        <v>303</v>
      </c>
      <c r="B130" s="28" t="s">
        <v>304</v>
      </c>
      <c r="C130" s="29" t="str">
        <f t="shared" ref="C130:C193" si="10">TEXT(B130,"mmm-yy")</f>
        <v>Apr-26</v>
      </c>
      <c r="D130" s="27" t="s">
        <v>77</v>
      </c>
      <c r="E130" s="27" t="s">
        <v>89</v>
      </c>
      <c r="F130" s="27" t="s">
        <v>97</v>
      </c>
      <c r="G130" s="27" t="s">
        <v>125</v>
      </c>
      <c r="H130" s="27" t="s">
        <v>107</v>
      </c>
      <c r="I130" s="30">
        <v>3</v>
      </c>
      <c r="J130" s="31">
        <v>24360</v>
      </c>
      <c r="K130" s="31">
        <v>17162</v>
      </c>
      <c r="L130" s="32">
        <f t="shared" ref="L130:L193" si="11">I130*J130</f>
        <v>73080</v>
      </c>
      <c r="M130" s="32">
        <f t="shared" ref="M130:M193" si="12">I130*K130</f>
        <v>51486</v>
      </c>
      <c r="N130" s="32">
        <f t="shared" ref="N130:N193" si="13">L130-M130</f>
        <v>21594</v>
      </c>
      <c r="O130" s="33">
        <f t="shared" ref="O130:O193" si="14">IFERROR(N130/L130,0)</f>
        <v>0.29548440065681447</v>
      </c>
    </row>
    <row r="131" spans="1:15" x14ac:dyDescent="0.3">
      <c r="A131" s="27" t="s">
        <v>305</v>
      </c>
      <c r="B131" s="28" t="s">
        <v>306</v>
      </c>
      <c r="C131" s="29" t="str">
        <f t="shared" si="10"/>
        <v>Apr-26</v>
      </c>
      <c r="D131" s="27" t="s">
        <v>77</v>
      </c>
      <c r="E131" s="27" t="s">
        <v>78</v>
      </c>
      <c r="F131" s="27" t="s">
        <v>102</v>
      </c>
      <c r="G131" s="27" t="s">
        <v>103</v>
      </c>
      <c r="H131" s="27" t="s">
        <v>107</v>
      </c>
      <c r="I131" s="30">
        <v>10</v>
      </c>
      <c r="J131" s="31">
        <v>2040</v>
      </c>
      <c r="K131" s="31">
        <v>1523</v>
      </c>
      <c r="L131" s="32">
        <f t="shared" si="11"/>
        <v>20400</v>
      </c>
      <c r="M131" s="32">
        <f t="shared" si="12"/>
        <v>15230</v>
      </c>
      <c r="N131" s="32">
        <f t="shared" si="13"/>
        <v>5170</v>
      </c>
      <c r="O131" s="33">
        <f t="shared" si="14"/>
        <v>0.2534313725490196</v>
      </c>
    </row>
    <row r="132" spans="1:15" x14ac:dyDescent="0.3">
      <c r="A132" s="27" t="s">
        <v>307</v>
      </c>
      <c r="B132" s="28" t="s">
        <v>306</v>
      </c>
      <c r="C132" s="29" t="str">
        <f t="shared" si="10"/>
        <v>Apr-26</v>
      </c>
      <c r="D132" s="27" t="s">
        <v>83</v>
      </c>
      <c r="E132" s="27" t="s">
        <v>84</v>
      </c>
      <c r="F132" s="27" t="s">
        <v>97</v>
      </c>
      <c r="G132" s="27" t="s">
        <v>98</v>
      </c>
      <c r="H132" s="27" t="s">
        <v>107</v>
      </c>
      <c r="I132" s="30">
        <v>4</v>
      </c>
      <c r="J132" s="31">
        <v>1990</v>
      </c>
      <c r="K132" s="31">
        <v>1413</v>
      </c>
      <c r="L132" s="32">
        <f t="shared" si="11"/>
        <v>7960</v>
      </c>
      <c r="M132" s="32">
        <f t="shared" si="12"/>
        <v>5652</v>
      </c>
      <c r="N132" s="32">
        <f t="shared" si="13"/>
        <v>2308</v>
      </c>
      <c r="O132" s="33">
        <f t="shared" si="14"/>
        <v>0.28994974874371859</v>
      </c>
    </row>
    <row r="133" spans="1:15" x14ac:dyDescent="0.3">
      <c r="A133" s="27" t="s">
        <v>308</v>
      </c>
      <c r="B133" s="28" t="s">
        <v>309</v>
      </c>
      <c r="C133" s="29" t="str">
        <f t="shared" si="10"/>
        <v>Apr-26</v>
      </c>
      <c r="D133" s="27" t="s">
        <v>110</v>
      </c>
      <c r="E133" s="27" t="s">
        <v>131</v>
      </c>
      <c r="F133" s="27" t="s">
        <v>85</v>
      </c>
      <c r="G133" s="27" t="s">
        <v>94</v>
      </c>
      <c r="H133" s="27" t="s">
        <v>107</v>
      </c>
      <c r="I133" s="30">
        <v>2</v>
      </c>
      <c r="J133" s="31">
        <v>1300</v>
      </c>
      <c r="K133" s="31">
        <v>971</v>
      </c>
      <c r="L133" s="32">
        <f t="shared" si="11"/>
        <v>2600</v>
      </c>
      <c r="M133" s="32">
        <f t="shared" si="12"/>
        <v>1942</v>
      </c>
      <c r="N133" s="32">
        <f t="shared" si="13"/>
        <v>658</v>
      </c>
      <c r="O133" s="33">
        <f t="shared" si="14"/>
        <v>0.25307692307692309</v>
      </c>
    </row>
    <row r="134" spans="1:15" x14ac:dyDescent="0.3">
      <c r="A134" s="27" t="s">
        <v>310</v>
      </c>
      <c r="B134" s="28" t="s">
        <v>311</v>
      </c>
      <c r="C134" s="29" t="str">
        <f t="shared" si="10"/>
        <v>Apr-26</v>
      </c>
      <c r="D134" s="27" t="s">
        <v>110</v>
      </c>
      <c r="E134" s="27" t="s">
        <v>111</v>
      </c>
      <c r="F134" s="27" t="s">
        <v>85</v>
      </c>
      <c r="G134" s="27" t="s">
        <v>86</v>
      </c>
      <c r="H134" s="27" t="s">
        <v>107</v>
      </c>
      <c r="I134" s="30">
        <v>6</v>
      </c>
      <c r="J134" s="31">
        <v>395</v>
      </c>
      <c r="K134" s="31">
        <v>295</v>
      </c>
      <c r="L134" s="32">
        <f t="shared" si="11"/>
        <v>2370</v>
      </c>
      <c r="M134" s="32">
        <f t="shared" si="12"/>
        <v>1770</v>
      </c>
      <c r="N134" s="32">
        <f t="shared" si="13"/>
        <v>600</v>
      </c>
      <c r="O134" s="33">
        <f t="shared" si="14"/>
        <v>0.25316455696202533</v>
      </c>
    </row>
    <row r="135" spans="1:15" x14ac:dyDescent="0.3">
      <c r="A135" s="27" t="s">
        <v>312</v>
      </c>
      <c r="B135" s="28" t="s">
        <v>313</v>
      </c>
      <c r="C135" s="29" t="str">
        <f t="shared" si="10"/>
        <v>Apr-26</v>
      </c>
      <c r="D135" s="27" t="s">
        <v>77</v>
      </c>
      <c r="E135" s="27" t="s">
        <v>78</v>
      </c>
      <c r="F135" s="27" t="s">
        <v>79</v>
      </c>
      <c r="G135" s="27" t="s">
        <v>135</v>
      </c>
      <c r="H135" s="27" t="s">
        <v>107</v>
      </c>
      <c r="I135" s="30">
        <v>1</v>
      </c>
      <c r="J135" s="31">
        <v>16920</v>
      </c>
      <c r="K135" s="31">
        <v>10015</v>
      </c>
      <c r="L135" s="32">
        <f t="shared" si="11"/>
        <v>16920</v>
      </c>
      <c r="M135" s="32">
        <f t="shared" si="12"/>
        <v>10015</v>
      </c>
      <c r="N135" s="32">
        <f t="shared" si="13"/>
        <v>6905</v>
      </c>
      <c r="O135" s="33">
        <f t="shared" si="14"/>
        <v>0.40809692671394798</v>
      </c>
    </row>
    <row r="136" spans="1:15" x14ac:dyDescent="0.3">
      <c r="A136" s="27" t="s">
        <v>314</v>
      </c>
      <c r="B136" s="28" t="s">
        <v>315</v>
      </c>
      <c r="C136" s="29" t="str">
        <f t="shared" si="10"/>
        <v>Apr-26</v>
      </c>
      <c r="D136" s="27" t="s">
        <v>83</v>
      </c>
      <c r="E136" s="27" t="s">
        <v>84</v>
      </c>
      <c r="F136" s="27" t="s">
        <v>72</v>
      </c>
      <c r="G136" s="27" t="s">
        <v>119</v>
      </c>
      <c r="H136" s="27" t="s">
        <v>81</v>
      </c>
      <c r="I136" s="30">
        <v>1</v>
      </c>
      <c r="J136" s="31">
        <v>372</v>
      </c>
      <c r="K136" s="31">
        <v>283</v>
      </c>
      <c r="L136" s="32">
        <f t="shared" si="11"/>
        <v>372</v>
      </c>
      <c r="M136" s="32">
        <f t="shared" si="12"/>
        <v>283</v>
      </c>
      <c r="N136" s="32">
        <f t="shared" si="13"/>
        <v>89</v>
      </c>
      <c r="O136" s="33">
        <f t="shared" si="14"/>
        <v>0.239247311827957</v>
      </c>
    </row>
    <row r="137" spans="1:15" x14ac:dyDescent="0.3">
      <c r="A137" s="27" t="s">
        <v>316</v>
      </c>
      <c r="B137" s="28" t="s">
        <v>317</v>
      </c>
      <c r="C137" s="29" t="str">
        <f t="shared" si="10"/>
        <v>Apr-26</v>
      </c>
      <c r="D137" s="27" t="s">
        <v>70</v>
      </c>
      <c r="E137" s="27" t="s">
        <v>105</v>
      </c>
      <c r="F137" s="27" t="s">
        <v>97</v>
      </c>
      <c r="G137" s="27" t="s">
        <v>123</v>
      </c>
      <c r="H137" s="27" t="s">
        <v>74</v>
      </c>
      <c r="I137" s="30">
        <v>1</v>
      </c>
      <c r="J137" s="31">
        <v>20480</v>
      </c>
      <c r="K137" s="31">
        <v>13456</v>
      </c>
      <c r="L137" s="32">
        <f t="shared" si="11"/>
        <v>20480</v>
      </c>
      <c r="M137" s="32">
        <f t="shared" si="12"/>
        <v>13456</v>
      </c>
      <c r="N137" s="32">
        <f t="shared" si="13"/>
        <v>7024</v>
      </c>
      <c r="O137" s="33">
        <f t="shared" si="14"/>
        <v>0.34296874999999999</v>
      </c>
    </row>
    <row r="138" spans="1:15" x14ac:dyDescent="0.3">
      <c r="A138" s="27" t="s">
        <v>318</v>
      </c>
      <c r="B138" s="28" t="s">
        <v>317</v>
      </c>
      <c r="C138" s="29" t="str">
        <f t="shared" si="10"/>
        <v>Apr-26</v>
      </c>
      <c r="D138" s="27" t="s">
        <v>70</v>
      </c>
      <c r="E138" s="27" t="s">
        <v>105</v>
      </c>
      <c r="F138" s="27" t="s">
        <v>79</v>
      </c>
      <c r="G138" s="27" t="s">
        <v>80</v>
      </c>
      <c r="H138" s="27" t="s">
        <v>107</v>
      </c>
      <c r="I138" s="30">
        <v>5</v>
      </c>
      <c r="J138" s="31">
        <v>6900</v>
      </c>
      <c r="K138" s="31">
        <v>4339</v>
      </c>
      <c r="L138" s="32">
        <f t="shared" si="11"/>
        <v>34500</v>
      </c>
      <c r="M138" s="32">
        <f t="shared" si="12"/>
        <v>21695</v>
      </c>
      <c r="N138" s="32">
        <f t="shared" si="13"/>
        <v>12805</v>
      </c>
      <c r="O138" s="33">
        <f t="shared" si="14"/>
        <v>0.37115942028985505</v>
      </c>
    </row>
    <row r="139" spans="1:15" x14ac:dyDescent="0.3">
      <c r="A139" s="27" t="s">
        <v>319</v>
      </c>
      <c r="B139" s="28" t="s">
        <v>317</v>
      </c>
      <c r="C139" s="29" t="str">
        <f t="shared" si="10"/>
        <v>Apr-26</v>
      </c>
      <c r="D139" s="27" t="s">
        <v>110</v>
      </c>
      <c r="E139" s="27" t="s">
        <v>131</v>
      </c>
      <c r="F139" s="27" t="s">
        <v>97</v>
      </c>
      <c r="G139" s="27" t="s">
        <v>98</v>
      </c>
      <c r="H139" s="27" t="s">
        <v>107</v>
      </c>
      <c r="I139" s="30">
        <v>5</v>
      </c>
      <c r="J139" s="31">
        <v>2150</v>
      </c>
      <c r="K139" s="31">
        <v>1545</v>
      </c>
      <c r="L139" s="32">
        <f t="shared" si="11"/>
        <v>10750</v>
      </c>
      <c r="M139" s="32">
        <f t="shared" si="12"/>
        <v>7725</v>
      </c>
      <c r="N139" s="32">
        <f t="shared" si="13"/>
        <v>3025</v>
      </c>
      <c r="O139" s="33">
        <f t="shared" si="14"/>
        <v>0.28139534883720929</v>
      </c>
    </row>
    <row r="140" spans="1:15" x14ac:dyDescent="0.3">
      <c r="A140" s="27" t="s">
        <v>320</v>
      </c>
      <c r="B140" s="28" t="s">
        <v>321</v>
      </c>
      <c r="C140" s="29" t="str">
        <f t="shared" si="10"/>
        <v>Apr-26</v>
      </c>
      <c r="D140" s="27" t="s">
        <v>70</v>
      </c>
      <c r="E140" s="27" t="s">
        <v>71</v>
      </c>
      <c r="F140" s="27" t="s">
        <v>102</v>
      </c>
      <c r="G140" s="27" t="s">
        <v>155</v>
      </c>
      <c r="H140" s="27" t="s">
        <v>81</v>
      </c>
      <c r="I140" s="30">
        <v>5</v>
      </c>
      <c r="J140" s="31">
        <v>1610</v>
      </c>
      <c r="K140" s="31">
        <v>971</v>
      </c>
      <c r="L140" s="32">
        <f t="shared" si="11"/>
        <v>8050</v>
      </c>
      <c r="M140" s="32">
        <f t="shared" si="12"/>
        <v>4855</v>
      </c>
      <c r="N140" s="32">
        <f t="shared" si="13"/>
        <v>3195</v>
      </c>
      <c r="O140" s="33">
        <f t="shared" si="14"/>
        <v>0.39689440993788822</v>
      </c>
    </row>
    <row r="141" spans="1:15" x14ac:dyDescent="0.3">
      <c r="A141" s="27" t="s">
        <v>322</v>
      </c>
      <c r="B141" s="28" t="s">
        <v>323</v>
      </c>
      <c r="C141" s="29" t="str">
        <f t="shared" si="10"/>
        <v>Apr-26</v>
      </c>
      <c r="D141" s="27" t="s">
        <v>77</v>
      </c>
      <c r="E141" s="27" t="s">
        <v>78</v>
      </c>
      <c r="F141" s="27" t="s">
        <v>85</v>
      </c>
      <c r="G141" s="27" t="s">
        <v>117</v>
      </c>
      <c r="H141" s="27" t="s">
        <v>107</v>
      </c>
      <c r="I141" s="30">
        <v>2</v>
      </c>
      <c r="J141" s="31">
        <v>1940</v>
      </c>
      <c r="K141" s="31">
        <v>1190</v>
      </c>
      <c r="L141" s="32">
        <f t="shared" si="11"/>
        <v>3880</v>
      </c>
      <c r="M141" s="32">
        <f t="shared" si="12"/>
        <v>2380</v>
      </c>
      <c r="N141" s="32">
        <f t="shared" si="13"/>
        <v>1500</v>
      </c>
      <c r="O141" s="33">
        <f t="shared" si="14"/>
        <v>0.38659793814432991</v>
      </c>
    </row>
    <row r="142" spans="1:15" x14ac:dyDescent="0.3">
      <c r="A142" s="27" t="s">
        <v>324</v>
      </c>
      <c r="B142" s="28" t="s">
        <v>323</v>
      </c>
      <c r="C142" s="29" t="str">
        <f t="shared" si="10"/>
        <v>Apr-26</v>
      </c>
      <c r="D142" s="27" t="s">
        <v>70</v>
      </c>
      <c r="E142" s="27" t="s">
        <v>71</v>
      </c>
      <c r="F142" s="27" t="s">
        <v>85</v>
      </c>
      <c r="G142" s="27" t="s">
        <v>94</v>
      </c>
      <c r="H142" s="27" t="s">
        <v>107</v>
      </c>
      <c r="I142" s="30">
        <v>5</v>
      </c>
      <c r="J142" s="31">
        <v>1340</v>
      </c>
      <c r="K142" s="31">
        <v>1037</v>
      </c>
      <c r="L142" s="32">
        <f t="shared" si="11"/>
        <v>6700</v>
      </c>
      <c r="M142" s="32">
        <f t="shared" si="12"/>
        <v>5185</v>
      </c>
      <c r="N142" s="32">
        <f t="shared" si="13"/>
        <v>1515</v>
      </c>
      <c r="O142" s="33">
        <f t="shared" si="14"/>
        <v>0.22611940298507463</v>
      </c>
    </row>
    <row r="143" spans="1:15" x14ac:dyDescent="0.3">
      <c r="A143" s="27" t="s">
        <v>325</v>
      </c>
      <c r="B143" s="28" t="s">
        <v>323</v>
      </c>
      <c r="C143" s="29" t="str">
        <f t="shared" si="10"/>
        <v>Apr-26</v>
      </c>
      <c r="D143" s="27" t="s">
        <v>110</v>
      </c>
      <c r="E143" s="27" t="s">
        <v>131</v>
      </c>
      <c r="F143" s="27" t="s">
        <v>85</v>
      </c>
      <c r="G143" s="27" t="s">
        <v>94</v>
      </c>
      <c r="H143" s="27" t="s">
        <v>81</v>
      </c>
      <c r="I143" s="30">
        <v>2</v>
      </c>
      <c r="J143" s="31">
        <v>1300</v>
      </c>
      <c r="K143" s="31">
        <v>950</v>
      </c>
      <c r="L143" s="32">
        <f t="shared" si="11"/>
        <v>2600</v>
      </c>
      <c r="M143" s="32">
        <f t="shared" si="12"/>
        <v>1900</v>
      </c>
      <c r="N143" s="32">
        <f t="shared" si="13"/>
        <v>700</v>
      </c>
      <c r="O143" s="33">
        <f t="shared" si="14"/>
        <v>0.26923076923076922</v>
      </c>
    </row>
    <row r="144" spans="1:15" x14ac:dyDescent="0.3">
      <c r="A144" s="27" t="s">
        <v>326</v>
      </c>
      <c r="B144" s="28" t="s">
        <v>323</v>
      </c>
      <c r="C144" s="29" t="str">
        <f t="shared" si="10"/>
        <v>Apr-26</v>
      </c>
      <c r="D144" s="27" t="s">
        <v>77</v>
      </c>
      <c r="E144" s="27" t="s">
        <v>89</v>
      </c>
      <c r="F144" s="27" t="s">
        <v>72</v>
      </c>
      <c r="G144" s="27" t="s">
        <v>112</v>
      </c>
      <c r="H144" s="27" t="s">
        <v>107</v>
      </c>
      <c r="I144" s="30">
        <v>6</v>
      </c>
      <c r="J144" s="31">
        <v>1820</v>
      </c>
      <c r="K144" s="31">
        <v>1161</v>
      </c>
      <c r="L144" s="32">
        <f t="shared" si="11"/>
        <v>10920</v>
      </c>
      <c r="M144" s="32">
        <f t="shared" si="12"/>
        <v>6966</v>
      </c>
      <c r="N144" s="32">
        <f t="shared" si="13"/>
        <v>3954</v>
      </c>
      <c r="O144" s="33">
        <f t="shared" si="14"/>
        <v>0.36208791208791208</v>
      </c>
    </row>
    <row r="145" spans="1:15" x14ac:dyDescent="0.3">
      <c r="A145" s="27" t="s">
        <v>327</v>
      </c>
      <c r="B145" s="28" t="s">
        <v>328</v>
      </c>
      <c r="C145" s="29" t="str">
        <f t="shared" si="10"/>
        <v>Apr-26</v>
      </c>
      <c r="D145" s="27" t="s">
        <v>77</v>
      </c>
      <c r="E145" s="27" t="s">
        <v>78</v>
      </c>
      <c r="F145" s="27" t="s">
        <v>72</v>
      </c>
      <c r="G145" s="27" t="s">
        <v>73</v>
      </c>
      <c r="H145" s="27" t="s">
        <v>74</v>
      </c>
      <c r="I145" s="30">
        <v>2</v>
      </c>
      <c r="J145" s="31">
        <v>901</v>
      </c>
      <c r="K145" s="31">
        <v>578</v>
      </c>
      <c r="L145" s="32">
        <f t="shared" si="11"/>
        <v>1802</v>
      </c>
      <c r="M145" s="32">
        <f t="shared" si="12"/>
        <v>1156</v>
      </c>
      <c r="N145" s="32">
        <f t="shared" si="13"/>
        <v>646</v>
      </c>
      <c r="O145" s="33">
        <f t="shared" si="14"/>
        <v>0.35849056603773582</v>
      </c>
    </row>
    <row r="146" spans="1:15" x14ac:dyDescent="0.3">
      <c r="A146" s="27" t="s">
        <v>329</v>
      </c>
      <c r="B146" s="28" t="s">
        <v>330</v>
      </c>
      <c r="C146" s="29" t="str">
        <f t="shared" si="10"/>
        <v>Apr-26</v>
      </c>
      <c r="D146" s="27" t="s">
        <v>83</v>
      </c>
      <c r="E146" s="27" t="s">
        <v>84</v>
      </c>
      <c r="F146" s="27" t="s">
        <v>102</v>
      </c>
      <c r="G146" s="27" t="s">
        <v>106</v>
      </c>
      <c r="H146" s="27" t="s">
        <v>107</v>
      </c>
      <c r="I146" s="30">
        <v>4</v>
      </c>
      <c r="J146" s="31">
        <v>789</v>
      </c>
      <c r="K146" s="31">
        <v>594</v>
      </c>
      <c r="L146" s="32">
        <f t="shared" si="11"/>
        <v>3156</v>
      </c>
      <c r="M146" s="32">
        <f t="shared" si="12"/>
        <v>2376</v>
      </c>
      <c r="N146" s="32">
        <f t="shared" si="13"/>
        <v>780</v>
      </c>
      <c r="O146" s="33">
        <f t="shared" si="14"/>
        <v>0.24714828897338403</v>
      </c>
    </row>
    <row r="147" spans="1:15" x14ac:dyDescent="0.3">
      <c r="A147" s="27" t="s">
        <v>331</v>
      </c>
      <c r="B147" s="28" t="s">
        <v>332</v>
      </c>
      <c r="C147" s="29" t="str">
        <f t="shared" si="10"/>
        <v>Apr-26</v>
      </c>
      <c r="D147" s="27" t="s">
        <v>110</v>
      </c>
      <c r="E147" s="27" t="s">
        <v>111</v>
      </c>
      <c r="F147" s="27" t="s">
        <v>79</v>
      </c>
      <c r="G147" s="27" t="s">
        <v>80</v>
      </c>
      <c r="H147" s="27" t="s">
        <v>81</v>
      </c>
      <c r="I147" s="30">
        <v>5</v>
      </c>
      <c r="J147" s="31">
        <v>7300</v>
      </c>
      <c r="K147" s="31">
        <v>4288</v>
      </c>
      <c r="L147" s="32">
        <f t="shared" si="11"/>
        <v>36500</v>
      </c>
      <c r="M147" s="32">
        <f t="shared" si="12"/>
        <v>21440</v>
      </c>
      <c r="N147" s="32">
        <f t="shared" si="13"/>
        <v>15060</v>
      </c>
      <c r="O147" s="33">
        <f t="shared" si="14"/>
        <v>0.4126027397260274</v>
      </c>
    </row>
    <row r="148" spans="1:15" x14ac:dyDescent="0.3">
      <c r="A148" s="27" t="s">
        <v>333</v>
      </c>
      <c r="B148" s="28" t="s">
        <v>332</v>
      </c>
      <c r="C148" s="29" t="str">
        <f t="shared" si="10"/>
        <v>Apr-26</v>
      </c>
      <c r="D148" s="27" t="s">
        <v>83</v>
      </c>
      <c r="E148" s="27" t="s">
        <v>101</v>
      </c>
      <c r="F148" s="27" t="s">
        <v>85</v>
      </c>
      <c r="G148" s="27" t="s">
        <v>117</v>
      </c>
      <c r="H148" s="27" t="s">
        <v>107</v>
      </c>
      <c r="I148" s="30">
        <v>3</v>
      </c>
      <c r="J148" s="31">
        <v>1780</v>
      </c>
      <c r="K148" s="31">
        <v>1294</v>
      </c>
      <c r="L148" s="32">
        <f t="shared" si="11"/>
        <v>5340</v>
      </c>
      <c r="M148" s="32">
        <f t="shared" si="12"/>
        <v>3882</v>
      </c>
      <c r="N148" s="32">
        <f t="shared" si="13"/>
        <v>1458</v>
      </c>
      <c r="O148" s="33">
        <f t="shared" si="14"/>
        <v>0.27303370786516856</v>
      </c>
    </row>
    <row r="149" spans="1:15" x14ac:dyDescent="0.3">
      <c r="A149" s="27" t="s">
        <v>334</v>
      </c>
      <c r="B149" s="28" t="s">
        <v>335</v>
      </c>
      <c r="C149" s="29" t="str">
        <f t="shared" si="10"/>
        <v>Apr-26</v>
      </c>
      <c r="D149" s="27" t="s">
        <v>110</v>
      </c>
      <c r="E149" s="27" t="s">
        <v>131</v>
      </c>
      <c r="F149" s="27" t="s">
        <v>97</v>
      </c>
      <c r="G149" s="27" t="s">
        <v>125</v>
      </c>
      <c r="H149" s="27" t="s">
        <v>81</v>
      </c>
      <c r="I149" s="30">
        <v>4</v>
      </c>
      <c r="J149" s="31">
        <v>24040</v>
      </c>
      <c r="K149" s="31">
        <v>16373</v>
      </c>
      <c r="L149" s="32">
        <f t="shared" si="11"/>
        <v>96160</v>
      </c>
      <c r="M149" s="32">
        <f t="shared" si="12"/>
        <v>65492</v>
      </c>
      <c r="N149" s="32">
        <f t="shared" si="13"/>
        <v>30668</v>
      </c>
      <c r="O149" s="33">
        <f t="shared" si="14"/>
        <v>0.31892678868552415</v>
      </c>
    </row>
    <row r="150" spans="1:15" x14ac:dyDescent="0.3">
      <c r="A150" s="27" t="s">
        <v>336</v>
      </c>
      <c r="B150" s="28" t="s">
        <v>337</v>
      </c>
      <c r="C150" s="29" t="str">
        <f t="shared" si="10"/>
        <v>May-26</v>
      </c>
      <c r="D150" s="27" t="s">
        <v>110</v>
      </c>
      <c r="E150" s="27" t="s">
        <v>111</v>
      </c>
      <c r="F150" s="27" t="s">
        <v>102</v>
      </c>
      <c r="G150" s="27" t="s">
        <v>106</v>
      </c>
      <c r="H150" s="27" t="s">
        <v>107</v>
      </c>
      <c r="I150" s="30">
        <v>3</v>
      </c>
      <c r="J150" s="31">
        <v>827</v>
      </c>
      <c r="K150" s="31">
        <v>550</v>
      </c>
      <c r="L150" s="32">
        <f t="shared" si="11"/>
        <v>2481</v>
      </c>
      <c r="M150" s="32">
        <f t="shared" si="12"/>
        <v>1650</v>
      </c>
      <c r="N150" s="32">
        <f t="shared" si="13"/>
        <v>831</v>
      </c>
      <c r="O150" s="33">
        <f t="shared" si="14"/>
        <v>0.33494558645707379</v>
      </c>
    </row>
    <row r="151" spans="1:15" x14ac:dyDescent="0.3">
      <c r="A151" s="27" t="s">
        <v>338</v>
      </c>
      <c r="B151" s="28" t="s">
        <v>337</v>
      </c>
      <c r="C151" s="29" t="str">
        <f t="shared" si="10"/>
        <v>May-26</v>
      </c>
      <c r="D151" s="27" t="s">
        <v>77</v>
      </c>
      <c r="E151" s="27" t="s">
        <v>78</v>
      </c>
      <c r="F151" s="27" t="s">
        <v>97</v>
      </c>
      <c r="G151" s="27" t="s">
        <v>123</v>
      </c>
      <c r="H151" s="27" t="s">
        <v>74</v>
      </c>
      <c r="I151" s="30">
        <v>3</v>
      </c>
      <c r="J151" s="31">
        <v>18680</v>
      </c>
      <c r="K151" s="31">
        <v>11461</v>
      </c>
      <c r="L151" s="32">
        <f t="shared" si="11"/>
        <v>56040</v>
      </c>
      <c r="M151" s="32">
        <f t="shared" si="12"/>
        <v>34383</v>
      </c>
      <c r="N151" s="32">
        <f t="shared" si="13"/>
        <v>21657</v>
      </c>
      <c r="O151" s="33">
        <f t="shared" si="14"/>
        <v>0.38645610278372589</v>
      </c>
    </row>
    <row r="152" spans="1:15" x14ac:dyDescent="0.3">
      <c r="A152" s="27" t="s">
        <v>339</v>
      </c>
      <c r="B152" s="28" t="s">
        <v>340</v>
      </c>
      <c r="C152" s="29" t="str">
        <f t="shared" si="10"/>
        <v>May-26</v>
      </c>
      <c r="D152" s="27" t="s">
        <v>83</v>
      </c>
      <c r="E152" s="27" t="s">
        <v>101</v>
      </c>
      <c r="F152" s="27" t="s">
        <v>102</v>
      </c>
      <c r="G152" s="27" t="s">
        <v>230</v>
      </c>
      <c r="H152" s="27" t="s">
        <v>107</v>
      </c>
      <c r="I152" s="30">
        <v>4</v>
      </c>
      <c r="J152" s="31">
        <v>2500</v>
      </c>
      <c r="K152" s="31">
        <v>1583</v>
      </c>
      <c r="L152" s="32">
        <f t="shared" si="11"/>
        <v>10000</v>
      </c>
      <c r="M152" s="32">
        <f t="shared" si="12"/>
        <v>6332</v>
      </c>
      <c r="N152" s="32">
        <f t="shared" si="13"/>
        <v>3668</v>
      </c>
      <c r="O152" s="33">
        <f t="shared" si="14"/>
        <v>0.36680000000000001</v>
      </c>
    </row>
    <row r="153" spans="1:15" x14ac:dyDescent="0.3">
      <c r="A153" s="27" t="s">
        <v>341</v>
      </c>
      <c r="B153" s="28" t="s">
        <v>342</v>
      </c>
      <c r="C153" s="29" t="str">
        <f t="shared" si="10"/>
        <v>May-26</v>
      </c>
      <c r="D153" s="27" t="s">
        <v>77</v>
      </c>
      <c r="E153" s="27" t="s">
        <v>78</v>
      </c>
      <c r="F153" s="27" t="s">
        <v>85</v>
      </c>
      <c r="G153" s="27" t="s">
        <v>117</v>
      </c>
      <c r="H153" s="27" t="s">
        <v>74</v>
      </c>
      <c r="I153" s="30">
        <v>2</v>
      </c>
      <c r="J153" s="31">
        <v>1880</v>
      </c>
      <c r="K153" s="31">
        <v>1298</v>
      </c>
      <c r="L153" s="32">
        <f t="shared" si="11"/>
        <v>3760</v>
      </c>
      <c r="M153" s="32">
        <f t="shared" si="12"/>
        <v>2596</v>
      </c>
      <c r="N153" s="32">
        <f t="shared" si="13"/>
        <v>1164</v>
      </c>
      <c r="O153" s="33">
        <f t="shared" si="14"/>
        <v>0.30957446808510636</v>
      </c>
    </row>
    <row r="154" spans="1:15" x14ac:dyDescent="0.3">
      <c r="A154" s="27" t="s">
        <v>343</v>
      </c>
      <c r="B154" s="28" t="s">
        <v>344</v>
      </c>
      <c r="C154" s="29" t="str">
        <f t="shared" si="10"/>
        <v>May-26</v>
      </c>
      <c r="D154" s="27" t="s">
        <v>110</v>
      </c>
      <c r="E154" s="27" t="s">
        <v>111</v>
      </c>
      <c r="F154" s="27" t="s">
        <v>102</v>
      </c>
      <c r="G154" s="27" t="s">
        <v>155</v>
      </c>
      <c r="H154" s="27" t="s">
        <v>74</v>
      </c>
      <c r="I154" s="30">
        <v>1</v>
      </c>
      <c r="J154" s="31">
        <v>1540</v>
      </c>
      <c r="K154" s="31">
        <v>932</v>
      </c>
      <c r="L154" s="32">
        <f t="shared" si="11"/>
        <v>1540</v>
      </c>
      <c r="M154" s="32">
        <f t="shared" si="12"/>
        <v>932</v>
      </c>
      <c r="N154" s="32">
        <f t="shared" si="13"/>
        <v>608</v>
      </c>
      <c r="O154" s="33">
        <f t="shared" si="14"/>
        <v>0.39480519480519483</v>
      </c>
    </row>
    <row r="155" spans="1:15" x14ac:dyDescent="0.3">
      <c r="A155" s="27" t="s">
        <v>345</v>
      </c>
      <c r="B155" s="28" t="s">
        <v>346</v>
      </c>
      <c r="C155" s="29" t="str">
        <f t="shared" si="10"/>
        <v>May-26</v>
      </c>
      <c r="D155" s="27" t="s">
        <v>70</v>
      </c>
      <c r="E155" s="27" t="s">
        <v>105</v>
      </c>
      <c r="F155" s="27" t="s">
        <v>85</v>
      </c>
      <c r="G155" s="27" t="s">
        <v>117</v>
      </c>
      <c r="H155" s="27" t="s">
        <v>81</v>
      </c>
      <c r="I155" s="30">
        <v>3</v>
      </c>
      <c r="J155" s="31">
        <v>1820</v>
      </c>
      <c r="K155" s="31">
        <v>1147</v>
      </c>
      <c r="L155" s="32">
        <f t="shared" si="11"/>
        <v>5460</v>
      </c>
      <c r="M155" s="32">
        <f t="shared" si="12"/>
        <v>3441</v>
      </c>
      <c r="N155" s="32">
        <f t="shared" si="13"/>
        <v>2019</v>
      </c>
      <c r="O155" s="33">
        <f t="shared" si="14"/>
        <v>0.3697802197802198</v>
      </c>
    </row>
    <row r="156" spans="1:15" x14ac:dyDescent="0.3">
      <c r="A156" s="27" t="s">
        <v>347</v>
      </c>
      <c r="B156" s="28" t="s">
        <v>346</v>
      </c>
      <c r="C156" s="29" t="str">
        <f t="shared" si="10"/>
        <v>May-26</v>
      </c>
      <c r="D156" s="27" t="s">
        <v>77</v>
      </c>
      <c r="E156" s="27" t="s">
        <v>89</v>
      </c>
      <c r="F156" s="27" t="s">
        <v>85</v>
      </c>
      <c r="G156" s="27" t="s">
        <v>86</v>
      </c>
      <c r="H156" s="27" t="s">
        <v>81</v>
      </c>
      <c r="I156" s="30">
        <v>6</v>
      </c>
      <c r="J156" s="31">
        <v>398</v>
      </c>
      <c r="K156" s="31">
        <v>241</v>
      </c>
      <c r="L156" s="32">
        <f t="shared" si="11"/>
        <v>2388</v>
      </c>
      <c r="M156" s="32">
        <f t="shared" si="12"/>
        <v>1446</v>
      </c>
      <c r="N156" s="32">
        <f t="shared" si="13"/>
        <v>942</v>
      </c>
      <c r="O156" s="33">
        <f t="shared" si="14"/>
        <v>0.39447236180904521</v>
      </c>
    </row>
    <row r="157" spans="1:15" x14ac:dyDescent="0.3">
      <c r="A157" s="27" t="s">
        <v>348</v>
      </c>
      <c r="B157" s="28" t="s">
        <v>349</v>
      </c>
      <c r="C157" s="29" t="str">
        <f t="shared" si="10"/>
        <v>May-26</v>
      </c>
      <c r="D157" s="27" t="s">
        <v>83</v>
      </c>
      <c r="E157" s="27" t="s">
        <v>84</v>
      </c>
      <c r="F157" s="27" t="s">
        <v>97</v>
      </c>
      <c r="G157" s="27" t="s">
        <v>123</v>
      </c>
      <c r="H157" s="27" t="s">
        <v>107</v>
      </c>
      <c r="I157" s="30">
        <v>2</v>
      </c>
      <c r="J157" s="31">
        <v>18680</v>
      </c>
      <c r="K157" s="31">
        <v>13326</v>
      </c>
      <c r="L157" s="32">
        <f t="shared" si="11"/>
        <v>37360</v>
      </c>
      <c r="M157" s="32">
        <f t="shared" si="12"/>
        <v>26652</v>
      </c>
      <c r="N157" s="32">
        <f t="shared" si="13"/>
        <v>10708</v>
      </c>
      <c r="O157" s="33">
        <f t="shared" si="14"/>
        <v>0.28661670235546038</v>
      </c>
    </row>
    <row r="158" spans="1:15" x14ac:dyDescent="0.3">
      <c r="A158" s="27" t="s">
        <v>350</v>
      </c>
      <c r="B158" s="28" t="s">
        <v>351</v>
      </c>
      <c r="C158" s="29" t="str">
        <f t="shared" si="10"/>
        <v>May-26</v>
      </c>
      <c r="D158" s="27" t="s">
        <v>77</v>
      </c>
      <c r="E158" s="27" t="s">
        <v>89</v>
      </c>
      <c r="F158" s="27" t="s">
        <v>85</v>
      </c>
      <c r="G158" s="27" t="s">
        <v>117</v>
      </c>
      <c r="H158" s="27" t="s">
        <v>74</v>
      </c>
      <c r="I158" s="30">
        <v>1</v>
      </c>
      <c r="J158" s="31">
        <v>1850</v>
      </c>
      <c r="K158" s="31">
        <v>1133</v>
      </c>
      <c r="L158" s="32">
        <f t="shared" si="11"/>
        <v>1850</v>
      </c>
      <c r="M158" s="32">
        <f t="shared" si="12"/>
        <v>1133</v>
      </c>
      <c r="N158" s="32">
        <f t="shared" si="13"/>
        <v>717</v>
      </c>
      <c r="O158" s="33">
        <f t="shared" si="14"/>
        <v>0.38756756756756755</v>
      </c>
    </row>
    <row r="159" spans="1:15" x14ac:dyDescent="0.3">
      <c r="A159" s="27" t="s">
        <v>352</v>
      </c>
      <c r="B159" s="28" t="s">
        <v>351</v>
      </c>
      <c r="C159" s="29" t="str">
        <f t="shared" si="10"/>
        <v>May-26</v>
      </c>
      <c r="D159" s="27" t="s">
        <v>110</v>
      </c>
      <c r="E159" s="27" t="s">
        <v>131</v>
      </c>
      <c r="F159" s="27" t="s">
        <v>85</v>
      </c>
      <c r="G159" s="27" t="s">
        <v>86</v>
      </c>
      <c r="H159" s="27" t="s">
        <v>107</v>
      </c>
      <c r="I159" s="30">
        <v>1</v>
      </c>
      <c r="J159" s="31">
        <v>411</v>
      </c>
      <c r="K159" s="31">
        <v>319</v>
      </c>
      <c r="L159" s="32">
        <f t="shared" si="11"/>
        <v>411</v>
      </c>
      <c r="M159" s="32">
        <f t="shared" si="12"/>
        <v>319</v>
      </c>
      <c r="N159" s="32">
        <f t="shared" si="13"/>
        <v>92</v>
      </c>
      <c r="O159" s="33">
        <f t="shared" si="14"/>
        <v>0.22384428223844283</v>
      </c>
    </row>
    <row r="160" spans="1:15" x14ac:dyDescent="0.3">
      <c r="A160" s="27" t="s">
        <v>353</v>
      </c>
      <c r="B160" s="28" t="s">
        <v>354</v>
      </c>
      <c r="C160" s="29" t="str">
        <f t="shared" si="10"/>
        <v>May-26</v>
      </c>
      <c r="D160" s="27" t="s">
        <v>110</v>
      </c>
      <c r="E160" s="27" t="s">
        <v>111</v>
      </c>
      <c r="F160" s="27" t="s">
        <v>102</v>
      </c>
      <c r="G160" s="27" t="s">
        <v>106</v>
      </c>
      <c r="H160" s="27" t="s">
        <v>107</v>
      </c>
      <c r="I160" s="30">
        <v>1</v>
      </c>
      <c r="J160" s="31">
        <v>775</v>
      </c>
      <c r="K160" s="31">
        <v>572</v>
      </c>
      <c r="L160" s="32">
        <f t="shared" si="11"/>
        <v>775</v>
      </c>
      <c r="M160" s="32">
        <f t="shared" si="12"/>
        <v>572</v>
      </c>
      <c r="N160" s="32">
        <f t="shared" si="13"/>
        <v>203</v>
      </c>
      <c r="O160" s="33">
        <f t="shared" si="14"/>
        <v>0.26193548387096777</v>
      </c>
    </row>
    <row r="161" spans="1:15" x14ac:dyDescent="0.3">
      <c r="A161" s="27" t="s">
        <v>355</v>
      </c>
      <c r="B161" s="28" t="s">
        <v>356</v>
      </c>
      <c r="C161" s="29" t="str">
        <f t="shared" si="10"/>
        <v>May-26</v>
      </c>
      <c r="D161" s="27" t="s">
        <v>77</v>
      </c>
      <c r="E161" s="27" t="s">
        <v>89</v>
      </c>
      <c r="F161" s="27" t="s">
        <v>102</v>
      </c>
      <c r="G161" s="27" t="s">
        <v>230</v>
      </c>
      <c r="H161" s="27" t="s">
        <v>107</v>
      </c>
      <c r="I161" s="30">
        <v>6</v>
      </c>
      <c r="J161" s="31">
        <v>2460</v>
      </c>
      <c r="K161" s="31">
        <v>1499</v>
      </c>
      <c r="L161" s="32">
        <f t="shared" si="11"/>
        <v>14760</v>
      </c>
      <c r="M161" s="32">
        <f t="shared" si="12"/>
        <v>8994</v>
      </c>
      <c r="N161" s="32">
        <f t="shared" si="13"/>
        <v>5766</v>
      </c>
      <c r="O161" s="33">
        <f t="shared" si="14"/>
        <v>0.39065040650406502</v>
      </c>
    </row>
    <row r="162" spans="1:15" x14ac:dyDescent="0.3">
      <c r="A162" s="27" t="s">
        <v>357</v>
      </c>
      <c r="B162" s="28" t="s">
        <v>356</v>
      </c>
      <c r="C162" s="29" t="str">
        <f t="shared" si="10"/>
        <v>May-26</v>
      </c>
      <c r="D162" s="27" t="s">
        <v>70</v>
      </c>
      <c r="E162" s="27" t="s">
        <v>71</v>
      </c>
      <c r="F162" s="27" t="s">
        <v>97</v>
      </c>
      <c r="G162" s="27" t="s">
        <v>125</v>
      </c>
      <c r="H162" s="27" t="s">
        <v>107</v>
      </c>
      <c r="I162" s="30">
        <v>1</v>
      </c>
      <c r="J162" s="31">
        <v>25150</v>
      </c>
      <c r="K162" s="31">
        <v>17331</v>
      </c>
      <c r="L162" s="32">
        <f t="shared" si="11"/>
        <v>25150</v>
      </c>
      <c r="M162" s="32">
        <f t="shared" si="12"/>
        <v>17331</v>
      </c>
      <c r="N162" s="32">
        <f t="shared" si="13"/>
        <v>7819</v>
      </c>
      <c r="O162" s="33">
        <f t="shared" si="14"/>
        <v>0.31089463220675945</v>
      </c>
    </row>
    <row r="163" spans="1:15" x14ac:dyDescent="0.3">
      <c r="A163" s="27" t="s">
        <v>358</v>
      </c>
      <c r="B163" s="28" t="s">
        <v>356</v>
      </c>
      <c r="C163" s="29" t="str">
        <f t="shared" si="10"/>
        <v>May-26</v>
      </c>
      <c r="D163" s="27" t="s">
        <v>110</v>
      </c>
      <c r="E163" s="27" t="s">
        <v>111</v>
      </c>
      <c r="F163" s="27" t="s">
        <v>72</v>
      </c>
      <c r="G163" s="27" t="s">
        <v>119</v>
      </c>
      <c r="H163" s="27" t="s">
        <v>107</v>
      </c>
      <c r="I163" s="30">
        <v>2</v>
      </c>
      <c r="J163" s="31">
        <v>363</v>
      </c>
      <c r="K163" s="31">
        <v>283</v>
      </c>
      <c r="L163" s="32">
        <f t="shared" si="11"/>
        <v>726</v>
      </c>
      <c r="M163" s="32">
        <f t="shared" si="12"/>
        <v>566</v>
      </c>
      <c r="N163" s="32">
        <f t="shared" si="13"/>
        <v>160</v>
      </c>
      <c r="O163" s="33">
        <f t="shared" si="14"/>
        <v>0.22038567493112948</v>
      </c>
    </row>
    <row r="164" spans="1:15" x14ac:dyDescent="0.3">
      <c r="A164" s="27" t="s">
        <v>359</v>
      </c>
      <c r="B164" s="28" t="s">
        <v>360</v>
      </c>
      <c r="C164" s="29" t="str">
        <f t="shared" si="10"/>
        <v>May-26</v>
      </c>
      <c r="D164" s="27" t="s">
        <v>83</v>
      </c>
      <c r="E164" s="27" t="s">
        <v>101</v>
      </c>
      <c r="F164" s="27" t="s">
        <v>72</v>
      </c>
      <c r="G164" s="27" t="s">
        <v>119</v>
      </c>
      <c r="H164" s="27" t="s">
        <v>81</v>
      </c>
      <c r="I164" s="30">
        <v>3</v>
      </c>
      <c r="J164" s="31">
        <v>349</v>
      </c>
      <c r="K164" s="31">
        <v>250</v>
      </c>
      <c r="L164" s="32">
        <f t="shared" si="11"/>
        <v>1047</v>
      </c>
      <c r="M164" s="32">
        <f t="shared" si="12"/>
        <v>750</v>
      </c>
      <c r="N164" s="32">
        <f t="shared" si="13"/>
        <v>297</v>
      </c>
      <c r="O164" s="33">
        <f t="shared" si="14"/>
        <v>0.28366762177650429</v>
      </c>
    </row>
    <row r="165" spans="1:15" x14ac:dyDescent="0.3">
      <c r="A165" s="27" t="s">
        <v>361</v>
      </c>
      <c r="B165" s="28" t="s">
        <v>362</v>
      </c>
      <c r="C165" s="29" t="str">
        <f t="shared" si="10"/>
        <v>May-26</v>
      </c>
      <c r="D165" s="27" t="s">
        <v>110</v>
      </c>
      <c r="E165" s="27" t="s">
        <v>111</v>
      </c>
      <c r="F165" s="27" t="s">
        <v>79</v>
      </c>
      <c r="G165" s="27" t="s">
        <v>80</v>
      </c>
      <c r="H165" s="27" t="s">
        <v>81</v>
      </c>
      <c r="I165" s="30">
        <v>4</v>
      </c>
      <c r="J165" s="31">
        <v>6720</v>
      </c>
      <c r="K165" s="31">
        <v>4730</v>
      </c>
      <c r="L165" s="32">
        <f t="shared" si="11"/>
        <v>26880</v>
      </c>
      <c r="M165" s="32">
        <f t="shared" si="12"/>
        <v>18920</v>
      </c>
      <c r="N165" s="32">
        <f t="shared" si="13"/>
        <v>7960</v>
      </c>
      <c r="O165" s="33">
        <f t="shared" si="14"/>
        <v>0.29613095238095238</v>
      </c>
    </row>
    <row r="166" spans="1:15" x14ac:dyDescent="0.3">
      <c r="A166" s="27" t="s">
        <v>363</v>
      </c>
      <c r="B166" s="28" t="s">
        <v>364</v>
      </c>
      <c r="C166" s="29" t="str">
        <f t="shared" si="10"/>
        <v>May-26</v>
      </c>
      <c r="D166" s="27" t="s">
        <v>83</v>
      </c>
      <c r="E166" s="27" t="s">
        <v>101</v>
      </c>
      <c r="F166" s="27" t="s">
        <v>102</v>
      </c>
      <c r="G166" s="27" t="s">
        <v>103</v>
      </c>
      <c r="H166" s="27" t="s">
        <v>107</v>
      </c>
      <c r="I166" s="30">
        <v>1</v>
      </c>
      <c r="J166" s="31">
        <v>2020</v>
      </c>
      <c r="K166" s="31">
        <v>1348</v>
      </c>
      <c r="L166" s="32">
        <f t="shared" si="11"/>
        <v>2020</v>
      </c>
      <c r="M166" s="32">
        <f t="shared" si="12"/>
        <v>1348</v>
      </c>
      <c r="N166" s="32">
        <f t="shared" si="13"/>
        <v>672</v>
      </c>
      <c r="O166" s="33">
        <f t="shared" si="14"/>
        <v>0.33267326732673269</v>
      </c>
    </row>
    <row r="167" spans="1:15" x14ac:dyDescent="0.3">
      <c r="A167" s="27" t="s">
        <v>365</v>
      </c>
      <c r="B167" s="28" t="s">
        <v>366</v>
      </c>
      <c r="C167" s="29" t="str">
        <f t="shared" si="10"/>
        <v>May-26</v>
      </c>
      <c r="D167" s="27" t="s">
        <v>110</v>
      </c>
      <c r="E167" s="27" t="s">
        <v>111</v>
      </c>
      <c r="F167" s="27" t="s">
        <v>97</v>
      </c>
      <c r="G167" s="27" t="s">
        <v>125</v>
      </c>
      <c r="H167" s="27" t="s">
        <v>81</v>
      </c>
      <c r="I167" s="30">
        <v>2</v>
      </c>
      <c r="J167" s="31">
        <v>24650</v>
      </c>
      <c r="K167" s="31">
        <v>18608</v>
      </c>
      <c r="L167" s="32">
        <f t="shared" si="11"/>
        <v>49300</v>
      </c>
      <c r="M167" s="32">
        <f t="shared" si="12"/>
        <v>37216</v>
      </c>
      <c r="N167" s="32">
        <f t="shared" si="13"/>
        <v>12084</v>
      </c>
      <c r="O167" s="33">
        <f t="shared" si="14"/>
        <v>0.24511156186612576</v>
      </c>
    </row>
    <row r="168" spans="1:15" x14ac:dyDescent="0.3">
      <c r="A168" s="27" t="s">
        <v>367</v>
      </c>
      <c r="B168" s="28" t="s">
        <v>366</v>
      </c>
      <c r="C168" s="29" t="str">
        <f t="shared" si="10"/>
        <v>May-26</v>
      </c>
      <c r="D168" s="27" t="s">
        <v>83</v>
      </c>
      <c r="E168" s="27" t="s">
        <v>101</v>
      </c>
      <c r="F168" s="27" t="s">
        <v>79</v>
      </c>
      <c r="G168" s="27" t="s">
        <v>135</v>
      </c>
      <c r="H168" s="27" t="s">
        <v>74</v>
      </c>
      <c r="I168" s="30">
        <v>1</v>
      </c>
      <c r="J168" s="31">
        <v>16110</v>
      </c>
      <c r="K168" s="31">
        <v>10597</v>
      </c>
      <c r="L168" s="32">
        <f t="shared" si="11"/>
        <v>16110</v>
      </c>
      <c r="M168" s="32">
        <f t="shared" si="12"/>
        <v>10597</v>
      </c>
      <c r="N168" s="32">
        <f t="shared" si="13"/>
        <v>5513</v>
      </c>
      <c r="O168" s="33">
        <f t="shared" si="14"/>
        <v>0.34220980757293606</v>
      </c>
    </row>
    <row r="169" spans="1:15" x14ac:dyDescent="0.3">
      <c r="A169" s="27" t="s">
        <v>368</v>
      </c>
      <c r="B169" s="28" t="s">
        <v>366</v>
      </c>
      <c r="C169" s="29" t="str">
        <f t="shared" si="10"/>
        <v>May-26</v>
      </c>
      <c r="D169" s="27" t="s">
        <v>77</v>
      </c>
      <c r="E169" s="27" t="s">
        <v>78</v>
      </c>
      <c r="F169" s="27" t="s">
        <v>97</v>
      </c>
      <c r="G169" s="27" t="s">
        <v>125</v>
      </c>
      <c r="H169" s="27" t="s">
        <v>107</v>
      </c>
      <c r="I169" s="30">
        <v>3</v>
      </c>
      <c r="J169" s="31">
        <v>26620</v>
      </c>
      <c r="K169" s="31">
        <v>19506</v>
      </c>
      <c r="L169" s="32">
        <f t="shared" si="11"/>
        <v>79860</v>
      </c>
      <c r="M169" s="32">
        <f t="shared" si="12"/>
        <v>58518</v>
      </c>
      <c r="N169" s="32">
        <f t="shared" si="13"/>
        <v>21342</v>
      </c>
      <c r="O169" s="33">
        <f t="shared" si="14"/>
        <v>0.26724267468069118</v>
      </c>
    </row>
    <row r="170" spans="1:15" x14ac:dyDescent="0.3">
      <c r="A170" s="27" t="s">
        <v>369</v>
      </c>
      <c r="B170" s="28" t="s">
        <v>370</v>
      </c>
      <c r="C170" s="29" t="str">
        <f t="shared" si="10"/>
        <v>May-26</v>
      </c>
      <c r="D170" s="27" t="s">
        <v>77</v>
      </c>
      <c r="E170" s="27" t="s">
        <v>89</v>
      </c>
      <c r="F170" s="27" t="s">
        <v>97</v>
      </c>
      <c r="G170" s="27" t="s">
        <v>125</v>
      </c>
      <c r="H170" s="27" t="s">
        <v>107</v>
      </c>
      <c r="I170" s="30">
        <v>3</v>
      </c>
      <c r="J170" s="31">
        <v>24110</v>
      </c>
      <c r="K170" s="31">
        <v>18221</v>
      </c>
      <c r="L170" s="32">
        <f t="shared" si="11"/>
        <v>72330</v>
      </c>
      <c r="M170" s="32">
        <f t="shared" si="12"/>
        <v>54663</v>
      </c>
      <c r="N170" s="32">
        <f t="shared" si="13"/>
        <v>17667</v>
      </c>
      <c r="O170" s="33">
        <f t="shared" si="14"/>
        <v>0.2442554956449606</v>
      </c>
    </row>
    <row r="171" spans="1:15" x14ac:dyDescent="0.3">
      <c r="A171" s="27" t="s">
        <v>371</v>
      </c>
      <c r="B171" s="28" t="s">
        <v>370</v>
      </c>
      <c r="C171" s="29" t="str">
        <f t="shared" si="10"/>
        <v>May-26</v>
      </c>
      <c r="D171" s="27" t="s">
        <v>83</v>
      </c>
      <c r="E171" s="27" t="s">
        <v>101</v>
      </c>
      <c r="F171" s="27" t="s">
        <v>97</v>
      </c>
      <c r="G171" s="27" t="s">
        <v>123</v>
      </c>
      <c r="H171" s="27" t="s">
        <v>107</v>
      </c>
      <c r="I171" s="30">
        <v>5</v>
      </c>
      <c r="J171" s="31">
        <v>19650</v>
      </c>
      <c r="K171" s="31">
        <v>14932</v>
      </c>
      <c r="L171" s="32">
        <f t="shared" si="11"/>
        <v>98250</v>
      </c>
      <c r="M171" s="32">
        <f t="shared" si="12"/>
        <v>74660</v>
      </c>
      <c r="N171" s="32">
        <f t="shared" si="13"/>
        <v>23590</v>
      </c>
      <c r="O171" s="33">
        <f t="shared" si="14"/>
        <v>0.24010178117048345</v>
      </c>
    </row>
    <row r="172" spans="1:15" x14ac:dyDescent="0.3">
      <c r="A172" s="27" t="s">
        <v>372</v>
      </c>
      <c r="B172" s="28" t="s">
        <v>370</v>
      </c>
      <c r="C172" s="29" t="str">
        <f t="shared" si="10"/>
        <v>May-26</v>
      </c>
      <c r="D172" s="27" t="s">
        <v>110</v>
      </c>
      <c r="E172" s="27" t="s">
        <v>131</v>
      </c>
      <c r="F172" s="27" t="s">
        <v>102</v>
      </c>
      <c r="G172" s="27" t="s">
        <v>106</v>
      </c>
      <c r="H172" s="27" t="s">
        <v>81</v>
      </c>
      <c r="I172" s="30">
        <v>3</v>
      </c>
      <c r="J172" s="31">
        <v>851</v>
      </c>
      <c r="K172" s="31">
        <v>596</v>
      </c>
      <c r="L172" s="32">
        <f t="shared" si="11"/>
        <v>2553</v>
      </c>
      <c r="M172" s="32">
        <f t="shared" si="12"/>
        <v>1788</v>
      </c>
      <c r="N172" s="32">
        <f t="shared" si="13"/>
        <v>765</v>
      </c>
      <c r="O172" s="33">
        <f t="shared" si="14"/>
        <v>0.29964747356051702</v>
      </c>
    </row>
    <row r="173" spans="1:15" x14ac:dyDescent="0.3">
      <c r="A173" s="27" t="s">
        <v>373</v>
      </c>
      <c r="B173" s="28" t="s">
        <v>374</v>
      </c>
      <c r="C173" s="29" t="str">
        <f t="shared" si="10"/>
        <v>May-26</v>
      </c>
      <c r="D173" s="27" t="s">
        <v>110</v>
      </c>
      <c r="E173" s="27" t="s">
        <v>111</v>
      </c>
      <c r="F173" s="27" t="s">
        <v>72</v>
      </c>
      <c r="G173" s="27" t="s">
        <v>73</v>
      </c>
      <c r="H173" s="27" t="s">
        <v>74</v>
      </c>
      <c r="I173" s="30">
        <v>1</v>
      </c>
      <c r="J173" s="31">
        <v>889</v>
      </c>
      <c r="K173" s="31">
        <v>558</v>
      </c>
      <c r="L173" s="32">
        <f t="shared" si="11"/>
        <v>889</v>
      </c>
      <c r="M173" s="32">
        <f t="shared" si="12"/>
        <v>558</v>
      </c>
      <c r="N173" s="32">
        <f t="shared" si="13"/>
        <v>331</v>
      </c>
      <c r="O173" s="33">
        <f t="shared" si="14"/>
        <v>0.37232845894263217</v>
      </c>
    </row>
    <row r="174" spans="1:15" x14ac:dyDescent="0.3">
      <c r="A174" s="27" t="s">
        <v>375</v>
      </c>
      <c r="B174" s="28" t="s">
        <v>376</v>
      </c>
      <c r="C174" s="29" t="str">
        <f t="shared" si="10"/>
        <v>May-26</v>
      </c>
      <c r="D174" s="27" t="s">
        <v>77</v>
      </c>
      <c r="E174" s="27" t="s">
        <v>89</v>
      </c>
      <c r="F174" s="27" t="s">
        <v>102</v>
      </c>
      <c r="G174" s="27" t="s">
        <v>230</v>
      </c>
      <c r="H174" s="27" t="s">
        <v>107</v>
      </c>
      <c r="I174" s="30">
        <v>2</v>
      </c>
      <c r="J174" s="31">
        <v>2460</v>
      </c>
      <c r="K174" s="31">
        <v>1880</v>
      </c>
      <c r="L174" s="32">
        <f t="shared" si="11"/>
        <v>4920</v>
      </c>
      <c r="M174" s="32">
        <f t="shared" si="12"/>
        <v>3760</v>
      </c>
      <c r="N174" s="32">
        <f t="shared" si="13"/>
        <v>1160</v>
      </c>
      <c r="O174" s="33">
        <f t="shared" si="14"/>
        <v>0.23577235772357724</v>
      </c>
    </row>
    <row r="175" spans="1:15" x14ac:dyDescent="0.3">
      <c r="A175" s="27" t="s">
        <v>377</v>
      </c>
      <c r="B175" s="28" t="s">
        <v>378</v>
      </c>
      <c r="C175" s="29" t="str">
        <f t="shared" si="10"/>
        <v>May-26</v>
      </c>
      <c r="D175" s="27" t="s">
        <v>77</v>
      </c>
      <c r="E175" s="27" t="s">
        <v>89</v>
      </c>
      <c r="F175" s="27" t="s">
        <v>72</v>
      </c>
      <c r="G175" s="27" t="s">
        <v>73</v>
      </c>
      <c r="H175" s="27" t="s">
        <v>81</v>
      </c>
      <c r="I175" s="30">
        <v>3</v>
      </c>
      <c r="J175" s="31">
        <v>925</v>
      </c>
      <c r="K175" s="31">
        <v>577</v>
      </c>
      <c r="L175" s="32">
        <f t="shared" si="11"/>
        <v>2775</v>
      </c>
      <c r="M175" s="32">
        <f t="shared" si="12"/>
        <v>1731</v>
      </c>
      <c r="N175" s="32">
        <f t="shared" si="13"/>
        <v>1044</v>
      </c>
      <c r="O175" s="33">
        <f t="shared" si="14"/>
        <v>0.3762162162162162</v>
      </c>
    </row>
    <row r="176" spans="1:15" x14ac:dyDescent="0.3">
      <c r="A176" s="27" t="s">
        <v>379</v>
      </c>
      <c r="B176" s="28" t="s">
        <v>380</v>
      </c>
      <c r="C176" s="29" t="str">
        <f t="shared" si="10"/>
        <v>May-26</v>
      </c>
      <c r="D176" s="27" t="s">
        <v>110</v>
      </c>
      <c r="E176" s="27" t="s">
        <v>131</v>
      </c>
      <c r="F176" s="27" t="s">
        <v>102</v>
      </c>
      <c r="G176" s="27" t="s">
        <v>103</v>
      </c>
      <c r="H176" s="27" t="s">
        <v>107</v>
      </c>
      <c r="I176" s="30">
        <v>1</v>
      </c>
      <c r="J176" s="31">
        <v>2010</v>
      </c>
      <c r="K176" s="31">
        <v>1362</v>
      </c>
      <c r="L176" s="32">
        <f t="shared" si="11"/>
        <v>2010</v>
      </c>
      <c r="M176" s="32">
        <f t="shared" si="12"/>
        <v>1362</v>
      </c>
      <c r="N176" s="32">
        <f t="shared" si="13"/>
        <v>648</v>
      </c>
      <c r="O176" s="33">
        <f t="shared" si="14"/>
        <v>0.32238805970149254</v>
      </c>
    </row>
    <row r="177" spans="1:15" x14ac:dyDescent="0.3">
      <c r="A177" s="27" t="s">
        <v>381</v>
      </c>
      <c r="B177" s="28" t="s">
        <v>380</v>
      </c>
      <c r="C177" s="29" t="str">
        <f t="shared" si="10"/>
        <v>May-26</v>
      </c>
      <c r="D177" s="27" t="s">
        <v>77</v>
      </c>
      <c r="E177" s="27" t="s">
        <v>78</v>
      </c>
      <c r="F177" s="27" t="s">
        <v>79</v>
      </c>
      <c r="G177" s="27" t="s">
        <v>80</v>
      </c>
      <c r="H177" s="27" t="s">
        <v>107</v>
      </c>
      <c r="I177" s="30">
        <v>1</v>
      </c>
      <c r="J177" s="31">
        <v>7340</v>
      </c>
      <c r="K177" s="31">
        <v>5247</v>
      </c>
      <c r="L177" s="32">
        <f t="shared" si="11"/>
        <v>7340</v>
      </c>
      <c r="M177" s="32">
        <f t="shared" si="12"/>
        <v>5247</v>
      </c>
      <c r="N177" s="32">
        <f t="shared" si="13"/>
        <v>2093</v>
      </c>
      <c r="O177" s="33">
        <f t="shared" si="14"/>
        <v>0.285149863760218</v>
      </c>
    </row>
    <row r="178" spans="1:15" x14ac:dyDescent="0.3">
      <c r="A178" s="27" t="s">
        <v>382</v>
      </c>
      <c r="B178" s="28" t="s">
        <v>380</v>
      </c>
      <c r="C178" s="29" t="str">
        <f t="shared" si="10"/>
        <v>May-26</v>
      </c>
      <c r="D178" s="27" t="s">
        <v>77</v>
      </c>
      <c r="E178" s="27" t="s">
        <v>78</v>
      </c>
      <c r="F178" s="27" t="s">
        <v>97</v>
      </c>
      <c r="G178" s="27" t="s">
        <v>98</v>
      </c>
      <c r="H178" s="27" t="s">
        <v>74</v>
      </c>
      <c r="I178" s="30">
        <v>1</v>
      </c>
      <c r="J178" s="31">
        <v>2000</v>
      </c>
      <c r="K178" s="31">
        <v>1390</v>
      </c>
      <c r="L178" s="32">
        <f t="shared" si="11"/>
        <v>2000</v>
      </c>
      <c r="M178" s="32">
        <f t="shared" si="12"/>
        <v>1390</v>
      </c>
      <c r="N178" s="32">
        <f t="shared" si="13"/>
        <v>610</v>
      </c>
      <c r="O178" s="33">
        <f t="shared" si="14"/>
        <v>0.30499999999999999</v>
      </c>
    </row>
    <row r="179" spans="1:15" x14ac:dyDescent="0.3">
      <c r="A179" s="27" t="s">
        <v>383</v>
      </c>
      <c r="B179" s="28" t="s">
        <v>384</v>
      </c>
      <c r="C179" s="29" t="str">
        <f t="shared" si="10"/>
        <v>May-26</v>
      </c>
      <c r="D179" s="27" t="s">
        <v>70</v>
      </c>
      <c r="E179" s="27" t="s">
        <v>105</v>
      </c>
      <c r="F179" s="27" t="s">
        <v>72</v>
      </c>
      <c r="G179" s="27" t="s">
        <v>73</v>
      </c>
      <c r="H179" s="27" t="s">
        <v>81</v>
      </c>
      <c r="I179" s="30">
        <v>10</v>
      </c>
      <c r="J179" s="31">
        <v>968</v>
      </c>
      <c r="K179" s="31">
        <v>638</v>
      </c>
      <c r="L179" s="32">
        <f t="shared" si="11"/>
        <v>9680</v>
      </c>
      <c r="M179" s="32">
        <f t="shared" si="12"/>
        <v>6380</v>
      </c>
      <c r="N179" s="32">
        <f t="shared" si="13"/>
        <v>3300</v>
      </c>
      <c r="O179" s="33">
        <f t="shared" si="14"/>
        <v>0.34090909090909088</v>
      </c>
    </row>
    <row r="180" spans="1:15" x14ac:dyDescent="0.3">
      <c r="A180" s="27" t="s">
        <v>385</v>
      </c>
      <c r="B180" s="28" t="s">
        <v>384</v>
      </c>
      <c r="C180" s="29" t="str">
        <f t="shared" si="10"/>
        <v>May-26</v>
      </c>
      <c r="D180" s="27" t="s">
        <v>110</v>
      </c>
      <c r="E180" s="27" t="s">
        <v>111</v>
      </c>
      <c r="F180" s="27" t="s">
        <v>97</v>
      </c>
      <c r="G180" s="27" t="s">
        <v>123</v>
      </c>
      <c r="H180" s="27" t="s">
        <v>107</v>
      </c>
      <c r="I180" s="30">
        <v>10</v>
      </c>
      <c r="J180" s="31">
        <v>19400</v>
      </c>
      <c r="K180" s="31">
        <v>14964</v>
      </c>
      <c r="L180" s="32">
        <f t="shared" si="11"/>
        <v>194000</v>
      </c>
      <c r="M180" s="32">
        <f t="shared" si="12"/>
        <v>149640</v>
      </c>
      <c r="N180" s="32">
        <f t="shared" si="13"/>
        <v>44360</v>
      </c>
      <c r="O180" s="33">
        <f t="shared" si="14"/>
        <v>0.22865979381443299</v>
      </c>
    </row>
    <row r="181" spans="1:15" x14ac:dyDescent="0.3">
      <c r="A181" s="27" t="s">
        <v>386</v>
      </c>
      <c r="B181" s="28" t="s">
        <v>387</v>
      </c>
      <c r="C181" s="29" t="str">
        <f t="shared" si="10"/>
        <v>May-26</v>
      </c>
      <c r="D181" s="27" t="s">
        <v>77</v>
      </c>
      <c r="E181" s="27" t="s">
        <v>89</v>
      </c>
      <c r="F181" s="27" t="s">
        <v>97</v>
      </c>
      <c r="G181" s="27" t="s">
        <v>125</v>
      </c>
      <c r="H181" s="27" t="s">
        <v>107</v>
      </c>
      <c r="I181" s="30">
        <v>2</v>
      </c>
      <c r="J181" s="31">
        <v>26810</v>
      </c>
      <c r="K181" s="31">
        <v>19590</v>
      </c>
      <c r="L181" s="32">
        <f t="shared" si="11"/>
        <v>53620</v>
      </c>
      <c r="M181" s="32">
        <f t="shared" si="12"/>
        <v>39180</v>
      </c>
      <c r="N181" s="32">
        <f t="shared" si="13"/>
        <v>14440</v>
      </c>
      <c r="O181" s="33">
        <f t="shared" si="14"/>
        <v>0.26930249906751214</v>
      </c>
    </row>
    <row r="182" spans="1:15" x14ac:dyDescent="0.3">
      <c r="A182" s="27" t="s">
        <v>388</v>
      </c>
      <c r="B182" s="28" t="s">
        <v>389</v>
      </c>
      <c r="C182" s="29" t="str">
        <f t="shared" si="10"/>
        <v>May-26</v>
      </c>
      <c r="D182" s="27" t="s">
        <v>70</v>
      </c>
      <c r="E182" s="27" t="s">
        <v>71</v>
      </c>
      <c r="F182" s="27" t="s">
        <v>79</v>
      </c>
      <c r="G182" s="27" t="s">
        <v>135</v>
      </c>
      <c r="H182" s="27" t="s">
        <v>74</v>
      </c>
      <c r="I182" s="30">
        <v>4</v>
      </c>
      <c r="J182" s="31">
        <v>15310</v>
      </c>
      <c r="K182" s="31">
        <v>10491</v>
      </c>
      <c r="L182" s="32">
        <f t="shared" si="11"/>
        <v>61240</v>
      </c>
      <c r="M182" s="32">
        <f t="shared" si="12"/>
        <v>41964</v>
      </c>
      <c r="N182" s="32">
        <f t="shared" si="13"/>
        <v>19276</v>
      </c>
      <c r="O182" s="33">
        <f t="shared" si="14"/>
        <v>0.31476159372958851</v>
      </c>
    </row>
    <row r="183" spans="1:15" x14ac:dyDescent="0.3">
      <c r="A183" s="27" t="s">
        <v>390</v>
      </c>
      <c r="B183" s="28" t="s">
        <v>391</v>
      </c>
      <c r="C183" s="29" t="str">
        <f t="shared" si="10"/>
        <v>Jun-26</v>
      </c>
      <c r="D183" s="27" t="s">
        <v>77</v>
      </c>
      <c r="E183" s="27" t="s">
        <v>78</v>
      </c>
      <c r="F183" s="27" t="s">
        <v>97</v>
      </c>
      <c r="G183" s="27" t="s">
        <v>125</v>
      </c>
      <c r="H183" s="27" t="s">
        <v>107</v>
      </c>
      <c r="I183" s="30">
        <v>1</v>
      </c>
      <c r="J183" s="31">
        <v>26570</v>
      </c>
      <c r="K183" s="31">
        <v>15678</v>
      </c>
      <c r="L183" s="32">
        <f t="shared" si="11"/>
        <v>26570</v>
      </c>
      <c r="M183" s="32">
        <f t="shared" si="12"/>
        <v>15678</v>
      </c>
      <c r="N183" s="32">
        <f t="shared" si="13"/>
        <v>10892</v>
      </c>
      <c r="O183" s="33">
        <f t="shared" si="14"/>
        <v>0.40993601806548741</v>
      </c>
    </row>
    <row r="184" spans="1:15" x14ac:dyDescent="0.3">
      <c r="A184" s="27" t="s">
        <v>392</v>
      </c>
      <c r="B184" s="28" t="s">
        <v>391</v>
      </c>
      <c r="C184" s="29" t="str">
        <f t="shared" si="10"/>
        <v>Jun-26</v>
      </c>
      <c r="D184" s="27" t="s">
        <v>77</v>
      </c>
      <c r="E184" s="27" t="s">
        <v>89</v>
      </c>
      <c r="F184" s="27" t="s">
        <v>85</v>
      </c>
      <c r="G184" s="27" t="s">
        <v>117</v>
      </c>
      <c r="H184" s="27" t="s">
        <v>107</v>
      </c>
      <c r="I184" s="30">
        <v>5</v>
      </c>
      <c r="J184" s="31">
        <v>1780</v>
      </c>
      <c r="K184" s="31">
        <v>1046</v>
      </c>
      <c r="L184" s="32">
        <f t="shared" si="11"/>
        <v>8900</v>
      </c>
      <c r="M184" s="32">
        <f t="shared" si="12"/>
        <v>5230</v>
      </c>
      <c r="N184" s="32">
        <f t="shared" si="13"/>
        <v>3670</v>
      </c>
      <c r="O184" s="33">
        <f t="shared" si="14"/>
        <v>0.41235955056179774</v>
      </c>
    </row>
    <row r="185" spans="1:15" x14ac:dyDescent="0.3">
      <c r="A185" s="27" t="s">
        <v>393</v>
      </c>
      <c r="B185" s="28" t="s">
        <v>394</v>
      </c>
      <c r="C185" s="29" t="str">
        <f t="shared" si="10"/>
        <v>Jun-26</v>
      </c>
      <c r="D185" s="27" t="s">
        <v>77</v>
      </c>
      <c r="E185" s="27" t="s">
        <v>89</v>
      </c>
      <c r="F185" s="27" t="s">
        <v>97</v>
      </c>
      <c r="G185" s="27" t="s">
        <v>123</v>
      </c>
      <c r="H185" s="27" t="s">
        <v>74</v>
      </c>
      <c r="I185" s="30">
        <v>6</v>
      </c>
      <c r="J185" s="31">
        <v>20510</v>
      </c>
      <c r="K185" s="31">
        <v>12927</v>
      </c>
      <c r="L185" s="32">
        <f t="shared" si="11"/>
        <v>123060</v>
      </c>
      <c r="M185" s="32">
        <f t="shared" si="12"/>
        <v>77562</v>
      </c>
      <c r="N185" s="32">
        <f t="shared" si="13"/>
        <v>45498</v>
      </c>
      <c r="O185" s="33">
        <f t="shared" si="14"/>
        <v>0.36972208678693319</v>
      </c>
    </row>
    <row r="186" spans="1:15" x14ac:dyDescent="0.3">
      <c r="A186" s="27" t="s">
        <v>395</v>
      </c>
      <c r="B186" s="28" t="s">
        <v>394</v>
      </c>
      <c r="C186" s="29" t="str">
        <f t="shared" si="10"/>
        <v>Jun-26</v>
      </c>
      <c r="D186" s="27" t="s">
        <v>70</v>
      </c>
      <c r="E186" s="27" t="s">
        <v>105</v>
      </c>
      <c r="F186" s="27" t="s">
        <v>102</v>
      </c>
      <c r="G186" s="27" t="s">
        <v>103</v>
      </c>
      <c r="H186" s="27" t="s">
        <v>74</v>
      </c>
      <c r="I186" s="30">
        <v>4</v>
      </c>
      <c r="J186" s="31">
        <v>1970</v>
      </c>
      <c r="K186" s="31">
        <v>1514</v>
      </c>
      <c r="L186" s="32">
        <f t="shared" si="11"/>
        <v>7880</v>
      </c>
      <c r="M186" s="32">
        <f t="shared" si="12"/>
        <v>6056</v>
      </c>
      <c r="N186" s="32">
        <f t="shared" si="13"/>
        <v>1824</v>
      </c>
      <c r="O186" s="33">
        <f t="shared" si="14"/>
        <v>0.23147208121827412</v>
      </c>
    </row>
    <row r="187" spans="1:15" x14ac:dyDescent="0.3">
      <c r="A187" s="27" t="s">
        <v>396</v>
      </c>
      <c r="B187" s="28" t="s">
        <v>397</v>
      </c>
      <c r="C187" s="29" t="str">
        <f t="shared" si="10"/>
        <v>Jun-26</v>
      </c>
      <c r="D187" s="27" t="s">
        <v>83</v>
      </c>
      <c r="E187" s="27" t="s">
        <v>84</v>
      </c>
      <c r="F187" s="27" t="s">
        <v>72</v>
      </c>
      <c r="G187" s="27" t="s">
        <v>119</v>
      </c>
      <c r="H187" s="27" t="s">
        <v>81</v>
      </c>
      <c r="I187" s="30">
        <v>6</v>
      </c>
      <c r="J187" s="31">
        <v>347</v>
      </c>
      <c r="K187" s="31">
        <v>220</v>
      </c>
      <c r="L187" s="32">
        <f t="shared" si="11"/>
        <v>2082</v>
      </c>
      <c r="M187" s="32">
        <f t="shared" si="12"/>
        <v>1320</v>
      </c>
      <c r="N187" s="32">
        <f t="shared" si="13"/>
        <v>762</v>
      </c>
      <c r="O187" s="33">
        <f t="shared" si="14"/>
        <v>0.36599423631123917</v>
      </c>
    </row>
    <row r="188" spans="1:15" x14ac:dyDescent="0.3">
      <c r="A188" s="27" t="s">
        <v>398</v>
      </c>
      <c r="B188" s="28" t="s">
        <v>399</v>
      </c>
      <c r="C188" s="29" t="str">
        <f t="shared" si="10"/>
        <v>Jun-26</v>
      </c>
      <c r="D188" s="27" t="s">
        <v>83</v>
      </c>
      <c r="E188" s="27" t="s">
        <v>101</v>
      </c>
      <c r="F188" s="27" t="s">
        <v>102</v>
      </c>
      <c r="G188" s="27" t="s">
        <v>103</v>
      </c>
      <c r="H188" s="27" t="s">
        <v>74</v>
      </c>
      <c r="I188" s="30">
        <v>6</v>
      </c>
      <c r="J188" s="31">
        <v>2020</v>
      </c>
      <c r="K188" s="31">
        <v>1549</v>
      </c>
      <c r="L188" s="32">
        <f t="shared" si="11"/>
        <v>12120</v>
      </c>
      <c r="M188" s="32">
        <f t="shared" si="12"/>
        <v>9294</v>
      </c>
      <c r="N188" s="32">
        <f t="shared" si="13"/>
        <v>2826</v>
      </c>
      <c r="O188" s="33">
        <f t="shared" si="14"/>
        <v>0.23316831683168318</v>
      </c>
    </row>
    <row r="189" spans="1:15" x14ac:dyDescent="0.3">
      <c r="A189" s="27" t="s">
        <v>400</v>
      </c>
      <c r="B189" s="28" t="s">
        <v>401</v>
      </c>
      <c r="C189" s="29" t="str">
        <f t="shared" si="10"/>
        <v>Jun-26</v>
      </c>
      <c r="D189" s="27" t="s">
        <v>110</v>
      </c>
      <c r="E189" s="27" t="s">
        <v>131</v>
      </c>
      <c r="F189" s="27" t="s">
        <v>79</v>
      </c>
      <c r="G189" s="27" t="s">
        <v>91</v>
      </c>
      <c r="H189" s="27" t="s">
        <v>81</v>
      </c>
      <c r="I189" s="30">
        <v>5</v>
      </c>
      <c r="J189" s="31">
        <v>4780</v>
      </c>
      <c r="K189" s="31">
        <v>3020</v>
      </c>
      <c r="L189" s="32">
        <f t="shared" si="11"/>
        <v>23900</v>
      </c>
      <c r="M189" s="32">
        <f t="shared" si="12"/>
        <v>15100</v>
      </c>
      <c r="N189" s="32">
        <f t="shared" si="13"/>
        <v>8800</v>
      </c>
      <c r="O189" s="33">
        <f t="shared" si="14"/>
        <v>0.3682008368200837</v>
      </c>
    </row>
    <row r="190" spans="1:15" x14ac:dyDescent="0.3">
      <c r="A190" s="27" t="s">
        <v>402</v>
      </c>
      <c r="B190" s="28" t="s">
        <v>401</v>
      </c>
      <c r="C190" s="29" t="str">
        <f t="shared" si="10"/>
        <v>Jun-26</v>
      </c>
      <c r="D190" s="27" t="s">
        <v>77</v>
      </c>
      <c r="E190" s="27" t="s">
        <v>78</v>
      </c>
      <c r="F190" s="27" t="s">
        <v>79</v>
      </c>
      <c r="G190" s="27" t="s">
        <v>135</v>
      </c>
      <c r="H190" s="27" t="s">
        <v>74</v>
      </c>
      <c r="I190" s="30">
        <v>1</v>
      </c>
      <c r="J190" s="31">
        <v>16570</v>
      </c>
      <c r="K190" s="31">
        <v>10406</v>
      </c>
      <c r="L190" s="32">
        <f t="shared" si="11"/>
        <v>16570</v>
      </c>
      <c r="M190" s="32">
        <f t="shared" si="12"/>
        <v>10406</v>
      </c>
      <c r="N190" s="32">
        <f t="shared" si="13"/>
        <v>6164</v>
      </c>
      <c r="O190" s="33">
        <f t="shared" si="14"/>
        <v>0.37199758599879301</v>
      </c>
    </row>
    <row r="191" spans="1:15" x14ac:dyDescent="0.3">
      <c r="A191" s="27" t="s">
        <v>403</v>
      </c>
      <c r="B191" s="28" t="s">
        <v>404</v>
      </c>
      <c r="C191" s="29" t="str">
        <f t="shared" si="10"/>
        <v>Jun-26</v>
      </c>
      <c r="D191" s="27" t="s">
        <v>77</v>
      </c>
      <c r="E191" s="27" t="s">
        <v>78</v>
      </c>
      <c r="F191" s="27" t="s">
        <v>85</v>
      </c>
      <c r="G191" s="27" t="s">
        <v>86</v>
      </c>
      <c r="H191" s="27" t="s">
        <v>74</v>
      </c>
      <c r="I191" s="30">
        <v>10</v>
      </c>
      <c r="J191" s="31">
        <v>387</v>
      </c>
      <c r="K191" s="31">
        <v>273</v>
      </c>
      <c r="L191" s="32">
        <f t="shared" si="11"/>
        <v>3870</v>
      </c>
      <c r="M191" s="32">
        <f t="shared" si="12"/>
        <v>2730</v>
      </c>
      <c r="N191" s="32">
        <f t="shared" si="13"/>
        <v>1140</v>
      </c>
      <c r="O191" s="33">
        <f t="shared" si="14"/>
        <v>0.29457364341085274</v>
      </c>
    </row>
    <row r="192" spans="1:15" x14ac:dyDescent="0.3">
      <c r="A192" s="27" t="s">
        <v>405</v>
      </c>
      <c r="B192" s="28" t="s">
        <v>406</v>
      </c>
      <c r="C192" s="29" t="str">
        <f t="shared" si="10"/>
        <v>Jun-26</v>
      </c>
      <c r="D192" s="27" t="s">
        <v>70</v>
      </c>
      <c r="E192" s="27" t="s">
        <v>71</v>
      </c>
      <c r="F192" s="27" t="s">
        <v>102</v>
      </c>
      <c r="G192" s="27" t="s">
        <v>106</v>
      </c>
      <c r="H192" s="27" t="s">
        <v>107</v>
      </c>
      <c r="I192" s="30">
        <v>5</v>
      </c>
      <c r="J192" s="31">
        <v>791</v>
      </c>
      <c r="K192" s="31">
        <v>464</v>
      </c>
      <c r="L192" s="32">
        <f t="shared" si="11"/>
        <v>3955</v>
      </c>
      <c r="M192" s="32">
        <f t="shared" si="12"/>
        <v>2320</v>
      </c>
      <c r="N192" s="32">
        <f t="shared" si="13"/>
        <v>1635</v>
      </c>
      <c r="O192" s="33">
        <f t="shared" si="14"/>
        <v>0.41340075853350189</v>
      </c>
    </row>
    <row r="193" spans="1:15" x14ac:dyDescent="0.3">
      <c r="A193" s="27" t="s">
        <v>407</v>
      </c>
      <c r="B193" s="28" t="s">
        <v>408</v>
      </c>
      <c r="C193" s="29" t="str">
        <f t="shared" si="10"/>
        <v>Jun-26</v>
      </c>
      <c r="D193" s="27" t="s">
        <v>83</v>
      </c>
      <c r="E193" s="27" t="s">
        <v>101</v>
      </c>
      <c r="F193" s="27" t="s">
        <v>102</v>
      </c>
      <c r="G193" s="27" t="s">
        <v>103</v>
      </c>
      <c r="H193" s="27" t="s">
        <v>74</v>
      </c>
      <c r="I193" s="30">
        <v>2</v>
      </c>
      <c r="J193" s="31">
        <v>1890</v>
      </c>
      <c r="K193" s="31">
        <v>1463</v>
      </c>
      <c r="L193" s="32">
        <f t="shared" si="11"/>
        <v>3780</v>
      </c>
      <c r="M193" s="32">
        <f t="shared" si="12"/>
        <v>2926</v>
      </c>
      <c r="N193" s="32">
        <f t="shared" si="13"/>
        <v>854</v>
      </c>
      <c r="O193" s="33">
        <f t="shared" si="14"/>
        <v>0.22592592592592592</v>
      </c>
    </row>
    <row r="194" spans="1:15" x14ac:dyDescent="0.3">
      <c r="A194" s="27" t="s">
        <v>409</v>
      </c>
      <c r="B194" s="28" t="s">
        <v>408</v>
      </c>
      <c r="C194" s="29" t="str">
        <f t="shared" ref="C194:C257" si="15">TEXT(B194,"mmm-yy")</f>
        <v>Jun-26</v>
      </c>
      <c r="D194" s="27" t="s">
        <v>110</v>
      </c>
      <c r="E194" s="27" t="s">
        <v>111</v>
      </c>
      <c r="F194" s="27" t="s">
        <v>102</v>
      </c>
      <c r="G194" s="27" t="s">
        <v>103</v>
      </c>
      <c r="H194" s="27" t="s">
        <v>74</v>
      </c>
      <c r="I194" s="30">
        <v>1</v>
      </c>
      <c r="J194" s="31">
        <v>1950</v>
      </c>
      <c r="K194" s="31">
        <v>1377</v>
      </c>
      <c r="L194" s="32">
        <f t="shared" ref="L194:L221" si="16">I194*J194</f>
        <v>1950</v>
      </c>
      <c r="M194" s="32">
        <f t="shared" ref="M194:M221" si="17">I194*K194</f>
        <v>1377</v>
      </c>
      <c r="N194" s="32">
        <f t="shared" ref="N194:N257" si="18">L194-M194</f>
        <v>573</v>
      </c>
      <c r="O194" s="33">
        <f t="shared" ref="O194:O257" si="19">IFERROR(N194/L194,0)</f>
        <v>0.29384615384615387</v>
      </c>
    </row>
    <row r="195" spans="1:15" x14ac:dyDescent="0.3">
      <c r="A195" s="27" t="s">
        <v>410</v>
      </c>
      <c r="B195" s="28" t="s">
        <v>411</v>
      </c>
      <c r="C195" s="29" t="str">
        <f t="shared" si="15"/>
        <v>Jun-26</v>
      </c>
      <c r="D195" s="27" t="s">
        <v>110</v>
      </c>
      <c r="E195" s="27" t="s">
        <v>111</v>
      </c>
      <c r="F195" s="27" t="s">
        <v>79</v>
      </c>
      <c r="G195" s="27" t="s">
        <v>135</v>
      </c>
      <c r="H195" s="27" t="s">
        <v>74</v>
      </c>
      <c r="I195" s="30">
        <v>2</v>
      </c>
      <c r="J195" s="31">
        <v>16340</v>
      </c>
      <c r="K195" s="31">
        <v>10909</v>
      </c>
      <c r="L195" s="32">
        <f t="shared" si="16"/>
        <v>32680</v>
      </c>
      <c r="M195" s="32">
        <f t="shared" si="17"/>
        <v>21818</v>
      </c>
      <c r="N195" s="32">
        <f t="shared" si="18"/>
        <v>10862</v>
      </c>
      <c r="O195" s="33">
        <f t="shared" si="19"/>
        <v>0.33237454100367197</v>
      </c>
    </row>
    <row r="196" spans="1:15" x14ac:dyDescent="0.3">
      <c r="A196" s="27" t="s">
        <v>412</v>
      </c>
      <c r="B196" s="28" t="s">
        <v>413</v>
      </c>
      <c r="C196" s="29" t="str">
        <f t="shared" si="15"/>
        <v>Jun-26</v>
      </c>
      <c r="D196" s="27" t="s">
        <v>70</v>
      </c>
      <c r="E196" s="27" t="s">
        <v>71</v>
      </c>
      <c r="F196" s="27" t="s">
        <v>72</v>
      </c>
      <c r="G196" s="27" t="s">
        <v>73</v>
      </c>
      <c r="H196" s="27" t="s">
        <v>74</v>
      </c>
      <c r="I196" s="30">
        <v>4</v>
      </c>
      <c r="J196" s="31">
        <v>919</v>
      </c>
      <c r="K196" s="31">
        <v>585</v>
      </c>
      <c r="L196" s="32">
        <f t="shared" si="16"/>
        <v>3676</v>
      </c>
      <c r="M196" s="32">
        <f t="shared" si="17"/>
        <v>2340</v>
      </c>
      <c r="N196" s="32">
        <f t="shared" si="18"/>
        <v>1336</v>
      </c>
      <c r="O196" s="33">
        <f t="shared" si="19"/>
        <v>0.3634385201305767</v>
      </c>
    </row>
    <row r="197" spans="1:15" x14ac:dyDescent="0.3">
      <c r="A197" s="27" t="s">
        <v>414</v>
      </c>
      <c r="B197" s="28" t="s">
        <v>415</v>
      </c>
      <c r="C197" s="29" t="str">
        <f t="shared" si="15"/>
        <v>Jun-26</v>
      </c>
      <c r="D197" s="27" t="s">
        <v>70</v>
      </c>
      <c r="E197" s="27" t="s">
        <v>105</v>
      </c>
      <c r="F197" s="27" t="s">
        <v>85</v>
      </c>
      <c r="G197" s="27" t="s">
        <v>86</v>
      </c>
      <c r="H197" s="27" t="s">
        <v>81</v>
      </c>
      <c r="I197" s="30">
        <v>6</v>
      </c>
      <c r="J197" s="31">
        <v>394</v>
      </c>
      <c r="K197" s="31">
        <v>276</v>
      </c>
      <c r="L197" s="32">
        <f t="shared" si="16"/>
        <v>2364</v>
      </c>
      <c r="M197" s="32">
        <f t="shared" si="17"/>
        <v>1656</v>
      </c>
      <c r="N197" s="32">
        <f t="shared" si="18"/>
        <v>708</v>
      </c>
      <c r="O197" s="33">
        <f t="shared" si="19"/>
        <v>0.29949238578680204</v>
      </c>
    </row>
    <row r="198" spans="1:15" x14ac:dyDescent="0.3">
      <c r="A198" s="27" t="s">
        <v>416</v>
      </c>
      <c r="B198" s="28" t="s">
        <v>417</v>
      </c>
      <c r="C198" s="29" t="str">
        <f t="shared" si="15"/>
        <v>Jun-26</v>
      </c>
      <c r="D198" s="27" t="s">
        <v>77</v>
      </c>
      <c r="E198" s="27" t="s">
        <v>78</v>
      </c>
      <c r="F198" s="27" t="s">
        <v>72</v>
      </c>
      <c r="G198" s="27" t="s">
        <v>73</v>
      </c>
      <c r="H198" s="27" t="s">
        <v>74</v>
      </c>
      <c r="I198" s="30">
        <v>1</v>
      </c>
      <c r="J198" s="31">
        <v>880</v>
      </c>
      <c r="K198" s="31">
        <v>629</v>
      </c>
      <c r="L198" s="32">
        <f t="shared" si="16"/>
        <v>880</v>
      </c>
      <c r="M198" s="32">
        <f t="shared" si="17"/>
        <v>629</v>
      </c>
      <c r="N198" s="32">
        <f t="shared" si="18"/>
        <v>251</v>
      </c>
      <c r="O198" s="33">
        <f t="shared" si="19"/>
        <v>0.28522727272727272</v>
      </c>
    </row>
    <row r="199" spans="1:15" x14ac:dyDescent="0.3">
      <c r="A199" s="27" t="s">
        <v>418</v>
      </c>
      <c r="B199" s="28" t="s">
        <v>417</v>
      </c>
      <c r="C199" s="29" t="str">
        <f t="shared" si="15"/>
        <v>Jun-26</v>
      </c>
      <c r="D199" s="27" t="s">
        <v>70</v>
      </c>
      <c r="E199" s="27" t="s">
        <v>105</v>
      </c>
      <c r="F199" s="27" t="s">
        <v>79</v>
      </c>
      <c r="G199" s="27" t="s">
        <v>135</v>
      </c>
      <c r="H199" s="27" t="s">
        <v>107</v>
      </c>
      <c r="I199" s="30">
        <v>2</v>
      </c>
      <c r="J199" s="31">
        <v>16110</v>
      </c>
      <c r="K199" s="31">
        <v>10099</v>
      </c>
      <c r="L199" s="32">
        <f t="shared" si="16"/>
        <v>32220</v>
      </c>
      <c r="M199" s="32">
        <f t="shared" si="17"/>
        <v>20198</v>
      </c>
      <c r="N199" s="32">
        <f t="shared" si="18"/>
        <v>12022</v>
      </c>
      <c r="O199" s="33">
        <f t="shared" si="19"/>
        <v>0.37312228429546868</v>
      </c>
    </row>
    <row r="200" spans="1:15" x14ac:dyDescent="0.3">
      <c r="A200" s="27" t="s">
        <v>419</v>
      </c>
      <c r="B200" s="28" t="s">
        <v>417</v>
      </c>
      <c r="C200" s="29" t="str">
        <f t="shared" si="15"/>
        <v>Jun-26</v>
      </c>
      <c r="D200" s="27" t="s">
        <v>83</v>
      </c>
      <c r="E200" s="27" t="s">
        <v>84</v>
      </c>
      <c r="F200" s="27" t="s">
        <v>97</v>
      </c>
      <c r="G200" s="27" t="s">
        <v>123</v>
      </c>
      <c r="H200" s="27" t="s">
        <v>74</v>
      </c>
      <c r="I200" s="30">
        <v>1</v>
      </c>
      <c r="J200" s="31">
        <v>20300</v>
      </c>
      <c r="K200" s="31">
        <v>15149</v>
      </c>
      <c r="L200" s="32">
        <f t="shared" si="16"/>
        <v>20300</v>
      </c>
      <c r="M200" s="32">
        <f t="shared" si="17"/>
        <v>15149</v>
      </c>
      <c r="N200" s="32">
        <f t="shared" si="18"/>
        <v>5151</v>
      </c>
      <c r="O200" s="33">
        <f t="shared" si="19"/>
        <v>0.25374384236453201</v>
      </c>
    </row>
    <row r="201" spans="1:15" x14ac:dyDescent="0.3">
      <c r="A201" s="27" t="s">
        <v>420</v>
      </c>
      <c r="B201" s="28" t="s">
        <v>421</v>
      </c>
      <c r="C201" s="29" t="str">
        <f t="shared" si="15"/>
        <v>Jun-26</v>
      </c>
      <c r="D201" s="27" t="s">
        <v>70</v>
      </c>
      <c r="E201" s="27" t="s">
        <v>105</v>
      </c>
      <c r="F201" s="27" t="s">
        <v>79</v>
      </c>
      <c r="G201" s="27" t="s">
        <v>135</v>
      </c>
      <c r="H201" s="27" t="s">
        <v>107</v>
      </c>
      <c r="I201" s="30">
        <v>5</v>
      </c>
      <c r="J201" s="31">
        <v>15340</v>
      </c>
      <c r="K201" s="31">
        <v>10834</v>
      </c>
      <c r="L201" s="32">
        <f t="shared" si="16"/>
        <v>76700</v>
      </c>
      <c r="M201" s="32">
        <f t="shared" si="17"/>
        <v>54170</v>
      </c>
      <c r="N201" s="32">
        <f t="shared" si="18"/>
        <v>22530</v>
      </c>
      <c r="O201" s="33">
        <f t="shared" si="19"/>
        <v>0.29374185136897002</v>
      </c>
    </row>
    <row r="202" spans="1:15" x14ac:dyDescent="0.3">
      <c r="A202" s="27" t="s">
        <v>422</v>
      </c>
      <c r="B202" s="28" t="s">
        <v>423</v>
      </c>
      <c r="C202" s="29" t="str">
        <f t="shared" si="15"/>
        <v>Jun-26</v>
      </c>
      <c r="D202" s="27" t="s">
        <v>83</v>
      </c>
      <c r="E202" s="27" t="s">
        <v>101</v>
      </c>
      <c r="F202" s="27" t="s">
        <v>72</v>
      </c>
      <c r="G202" s="27" t="s">
        <v>73</v>
      </c>
      <c r="H202" s="27" t="s">
        <v>107</v>
      </c>
      <c r="I202" s="30">
        <v>3</v>
      </c>
      <c r="J202" s="31">
        <v>955</v>
      </c>
      <c r="K202" s="31">
        <v>606</v>
      </c>
      <c r="L202" s="32">
        <f t="shared" si="16"/>
        <v>2865</v>
      </c>
      <c r="M202" s="32">
        <f t="shared" si="17"/>
        <v>1818</v>
      </c>
      <c r="N202" s="32">
        <f t="shared" si="18"/>
        <v>1047</v>
      </c>
      <c r="O202" s="33">
        <f t="shared" si="19"/>
        <v>0.36544502617801045</v>
      </c>
    </row>
    <row r="203" spans="1:15" x14ac:dyDescent="0.3">
      <c r="A203" s="27" t="s">
        <v>424</v>
      </c>
      <c r="B203" s="28" t="s">
        <v>425</v>
      </c>
      <c r="C203" s="29" t="str">
        <f t="shared" si="15"/>
        <v>Jun-26</v>
      </c>
      <c r="D203" s="27" t="s">
        <v>77</v>
      </c>
      <c r="E203" s="27" t="s">
        <v>78</v>
      </c>
      <c r="F203" s="27" t="s">
        <v>79</v>
      </c>
      <c r="G203" s="27" t="s">
        <v>80</v>
      </c>
      <c r="H203" s="27" t="s">
        <v>81</v>
      </c>
      <c r="I203" s="30">
        <v>8</v>
      </c>
      <c r="J203" s="31">
        <v>7410</v>
      </c>
      <c r="K203" s="31">
        <v>4524</v>
      </c>
      <c r="L203" s="32">
        <f t="shared" si="16"/>
        <v>59280</v>
      </c>
      <c r="M203" s="32">
        <f t="shared" si="17"/>
        <v>36192</v>
      </c>
      <c r="N203" s="32">
        <f t="shared" si="18"/>
        <v>23088</v>
      </c>
      <c r="O203" s="33">
        <f t="shared" si="19"/>
        <v>0.38947368421052631</v>
      </c>
    </row>
    <row r="204" spans="1:15" x14ac:dyDescent="0.3">
      <c r="A204" s="27" t="s">
        <v>426</v>
      </c>
      <c r="B204" s="28" t="s">
        <v>427</v>
      </c>
      <c r="C204" s="29" t="str">
        <f t="shared" si="15"/>
        <v>Jun-26</v>
      </c>
      <c r="D204" s="27" t="s">
        <v>83</v>
      </c>
      <c r="E204" s="27" t="s">
        <v>101</v>
      </c>
      <c r="F204" s="27" t="s">
        <v>102</v>
      </c>
      <c r="G204" s="27" t="s">
        <v>230</v>
      </c>
      <c r="H204" s="27" t="s">
        <v>74</v>
      </c>
      <c r="I204" s="30">
        <v>2</v>
      </c>
      <c r="J204" s="31">
        <v>2670</v>
      </c>
      <c r="K204" s="31">
        <v>2065</v>
      </c>
      <c r="L204" s="32">
        <f t="shared" si="16"/>
        <v>5340</v>
      </c>
      <c r="M204" s="32">
        <f t="shared" si="17"/>
        <v>4130</v>
      </c>
      <c r="N204" s="32">
        <f t="shared" si="18"/>
        <v>1210</v>
      </c>
      <c r="O204" s="33">
        <f t="shared" si="19"/>
        <v>0.22659176029962547</v>
      </c>
    </row>
    <row r="205" spans="1:15" x14ac:dyDescent="0.3">
      <c r="A205" s="27" t="s">
        <v>428</v>
      </c>
      <c r="B205" s="28" t="s">
        <v>429</v>
      </c>
      <c r="C205" s="29" t="str">
        <f t="shared" si="15"/>
        <v>Jun-26</v>
      </c>
      <c r="D205" s="27" t="s">
        <v>110</v>
      </c>
      <c r="E205" s="27" t="s">
        <v>111</v>
      </c>
      <c r="F205" s="27" t="s">
        <v>85</v>
      </c>
      <c r="G205" s="27" t="s">
        <v>86</v>
      </c>
      <c r="H205" s="27" t="s">
        <v>74</v>
      </c>
      <c r="I205" s="30">
        <v>2</v>
      </c>
      <c r="J205" s="31">
        <v>428</v>
      </c>
      <c r="K205" s="31">
        <v>296</v>
      </c>
      <c r="L205" s="32">
        <f t="shared" si="16"/>
        <v>856</v>
      </c>
      <c r="M205" s="32">
        <f t="shared" si="17"/>
        <v>592</v>
      </c>
      <c r="N205" s="32">
        <f t="shared" si="18"/>
        <v>264</v>
      </c>
      <c r="O205" s="33">
        <f t="shared" si="19"/>
        <v>0.30841121495327101</v>
      </c>
    </row>
    <row r="206" spans="1:15" x14ac:dyDescent="0.3">
      <c r="A206" s="27" t="s">
        <v>430</v>
      </c>
      <c r="B206" s="28" t="s">
        <v>431</v>
      </c>
      <c r="C206" s="29" t="str">
        <f t="shared" si="15"/>
        <v>Jun-26</v>
      </c>
      <c r="D206" s="27" t="s">
        <v>77</v>
      </c>
      <c r="E206" s="27" t="s">
        <v>89</v>
      </c>
      <c r="F206" s="27" t="s">
        <v>102</v>
      </c>
      <c r="G206" s="27" t="s">
        <v>106</v>
      </c>
      <c r="H206" s="27" t="s">
        <v>107</v>
      </c>
      <c r="I206" s="30">
        <v>5</v>
      </c>
      <c r="J206" s="31">
        <v>800</v>
      </c>
      <c r="K206" s="31">
        <v>471</v>
      </c>
      <c r="L206" s="32">
        <f t="shared" si="16"/>
        <v>4000</v>
      </c>
      <c r="M206" s="32">
        <f t="shared" si="17"/>
        <v>2355</v>
      </c>
      <c r="N206" s="32">
        <f t="shared" si="18"/>
        <v>1645</v>
      </c>
      <c r="O206" s="33">
        <f t="shared" si="19"/>
        <v>0.41125</v>
      </c>
    </row>
    <row r="207" spans="1:15" x14ac:dyDescent="0.3">
      <c r="A207" s="27" t="s">
        <v>432</v>
      </c>
      <c r="B207" s="28" t="s">
        <v>433</v>
      </c>
      <c r="C207" s="29" t="str">
        <f t="shared" si="15"/>
        <v>Jun-26</v>
      </c>
      <c r="D207" s="27" t="s">
        <v>83</v>
      </c>
      <c r="E207" s="27" t="s">
        <v>101</v>
      </c>
      <c r="F207" s="27" t="s">
        <v>79</v>
      </c>
      <c r="G207" s="27" t="s">
        <v>91</v>
      </c>
      <c r="H207" s="27" t="s">
        <v>81</v>
      </c>
      <c r="I207" s="30">
        <v>1</v>
      </c>
      <c r="J207" s="31">
        <v>4340</v>
      </c>
      <c r="K207" s="31">
        <v>3262</v>
      </c>
      <c r="L207" s="32">
        <f t="shared" si="16"/>
        <v>4340</v>
      </c>
      <c r="M207" s="32">
        <f t="shared" si="17"/>
        <v>3262</v>
      </c>
      <c r="N207" s="32">
        <f t="shared" si="18"/>
        <v>1078</v>
      </c>
      <c r="O207" s="33">
        <f t="shared" si="19"/>
        <v>0.24838709677419354</v>
      </c>
    </row>
    <row r="208" spans="1:15" x14ac:dyDescent="0.3">
      <c r="A208" s="27" t="s">
        <v>434</v>
      </c>
      <c r="B208" s="28" t="s">
        <v>433</v>
      </c>
      <c r="C208" s="29" t="str">
        <f t="shared" si="15"/>
        <v>Jun-26</v>
      </c>
      <c r="D208" s="27" t="s">
        <v>83</v>
      </c>
      <c r="E208" s="27" t="s">
        <v>101</v>
      </c>
      <c r="F208" s="27" t="s">
        <v>97</v>
      </c>
      <c r="G208" s="27" t="s">
        <v>125</v>
      </c>
      <c r="H208" s="27" t="s">
        <v>74</v>
      </c>
      <c r="I208" s="30">
        <v>3</v>
      </c>
      <c r="J208" s="31">
        <v>26830</v>
      </c>
      <c r="K208" s="31">
        <v>18905</v>
      </c>
      <c r="L208" s="32">
        <f t="shared" si="16"/>
        <v>80490</v>
      </c>
      <c r="M208" s="32">
        <f t="shared" si="17"/>
        <v>56715</v>
      </c>
      <c r="N208" s="32">
        <f t="shared" si="18"/>
        <v>23775</v>
      </c>
      <c r="O208" s="33">
        <f t="shared" si="19"/>
        <v>0.29537830786433095</v>
      </c>
    </row>
    <row r="209" spans="1:15" x14ac:dyDescent="0.3">
      <c r="A209" s="27" t="s">
        <v>435</v>
      </c>
      <c r="B209" s="28" t="s">
        <v>436</v>
      </c>
      <c r="C209" s="29" t="str">
        <f t="shared" si="15"/>
        <v>Jun-26</v>
      </c>
      <c r="D209" s="27" t="s">
        <v>110</v>
      </c>
      <c r="E209" s="27" t="s">
        <v>131</v>
      </c>
      <c r="F209" s="27" t="s">
        <v>97</v>
      </c>
      <c r="G209" s="27" t="s">
        <v>123</v>
      </c>
      <c r="H209" s="27" t="s">
        <v>74</v>
      </c>
      <c r="I209" s="30">
        <v>1</v>
      </c>
      <c r="J209" s="31">
        <v>18140</v>
      </c>
      <c r="K209" s="31">
        <v>11373</v>
      </c>
      <c r="L209" s="32">
        <f t="shared" si="16"/>
        <v>18140</v>
      </c>
      <c r="M209" s="32">
        <f t="shared" si="17"/>
        <v>11373</v>
      </c>
      <c r="N209" s="32">
        <f t="shared" si="18"/>
        <v>6767</v>
      </c>
      <c r="O209" s="33">
        <f t="shared" si="19"/>
        <v>0.37304299889746417</v>
      </c>
    </row>
    <row r="210" spans="1:15" x14ac:dyDescent="0.3">
      <c r="A210" s="27" t="s">
        <v>437</v>
      </c>
      <c r="B210" s="28" t="s">
        <v>436</v>
      </c>
      <c r="C210" s="29" t="str">
        <f t="shared" si="15"/>
        <v>Jun-26</v>
      </c>
      <c r="D210" s="27" t="s">
        <v>70</v>
      </c>
      <c r="E210" s="27" t="s">
        <v>105</v>
      </c>
      <c r="F210" s="27" t="s">
        <v>72</v>
      </c>
      <c r="G210" s="27" t="s">
        <v>73</v>
      </c>
      <c r="H210" s="27" t="s">
        <v>74</v>
      </c>
      <c r="I210" s="30">
        <v>5</v>
      </c>
      <c r="J210" s="31">
        <v>933</v>
      </c>
      <c r="K210" s="31">
        <v>546</v>
      </c>
      <c r="L210" s="32">
        <f t="shared" si="16"/>
        <v>4665</v>
      </c>
      <c r="M210" s="32">
        <f t="shared" si="17"/>
        <v>2730</v>
      </c>
      <c r="N210" s="32">
        <f t="shared" si="18"/>
        <v>1935</v>
      </c>
      <c r="O210" s="33">
        <f t="shared" si="19"/>
        <v>0.41479099678456594</v>
      </c>
    </row>
    <row r="211" spans="1:15" x14ac:dyDescent="0.3">
      <c r="A211" s="27" t="s">
        <v>438</v>
      </c>
      <c r="B211" s="28" t="s">
        <v>439</v>
      </c>
      <c r="C211" s="29" t="str">
        <f t="shared" si="15"/>
        <v>Jun-26</v>
      </c>
      <c r="D211" s="27" t="s">
        <v>110</v>
      </c>
      <c r="E211" s="27" t="s">
        <v>111</v>
      </c>
      <c r="F211" s="27" t="s">
        <v>97</v>
      </c>
      <c r="G211" s="27" t="s">
        <v>125</v>
      </c>
      <c r="H211" s="27" t="s">
        <v>107</v>
      </c>
      <c r="I211" s="30">
        <v>6</v>
      </c>
      <c r="J211" s="31">
        <v>26940</v>
      </c>
      <c r="K211" s="31">
        <v>15770</v>
      </c>
      <c r="L211" s="32">
        <f t="shared" si="16"/>
        <v>161640</v>
      </c>
      <c r="M211" s="32">
        <f t="shared" si="17"/>
        <v>94620</v>
      </c>
      <c r="N211" s="32">
        <f t="shared" si="18"/>
        <v>67020</v>
      </c>
      <c r="O211" s="33">
        <f t="shared" si="19"/>
        <v>0.41462509279881216</v>
      </c>
    </row>
    <row r="212" spans="1:15" x14ac:dyDescent="0.3">
      <c r="A212" s="27" t="s">
        <v>440</v>
      </c>
      <c r="B212" s="28" t="s">
        <v>439</v>
      </c>
      <c r="C212" s="29" t="str">
        <f t="shared" si="15"/>
        <v>Jun-26</v>
      </c>
      <c r="D212" s="27" t="s">
        <v>110</v>
      </c>
      <c r="E212" s="27" t="s">
        <v>111</v>
      </c>
      <c r="F212" s="27" t="s">
        <v>79</v>
      </c>
      <c r="G212" s="27" t="s">
        <v>80</v>
      </c>
      <c r="H212" s="27" t="s">
        <v>107</v>
      </c>
      <c r="I212" s="30">
        <v>10</v>
      </c>
      <c r="J212" s="31">
        <v>6860</v>
      </c>
      <c r="K212" s="31">
        <v>4481</v>
      </c>
      <c r="L212" s="32">
        <f t="shared" si="16"/>
        <v>68600</v>
      </c>
      <c r="M212" s="32">
        <f t="shared" si="17"/>
        <v>44810</v>
      </c>
      <c r="N212" s="32">
        <f t="shared" si="18"/>
        <v>23790</v>
      </c>
      <c r="O212" s="33">
        <f t="shared" si="19"/>
        <v>0.3467930029154519</v>
      </c>
    </row>
    <row r="213" spans="1:15" x14ac:dyDescent="0.3">
      <c r="A213" s="27" t="s">
        <v>441</v>
      </c>
      <c r="B213" s="28" t="s">
        <v>442</v>
      </c>
      <c r="C213" s="29" t="str">
        <f t="shared" si="15"/>
        <v>Jun-26</v>
      </c>
      <c r="D213" s="27" t="s">
        <v>83</v>
      </c>
      <c r="E213" s="27" t="s">
        <v>84</v>
      </c>
      <c r="F213" s="27" t="s">
        <v>72</v>
      </c>
      <c r="G213" s="27" t="s">
        <v>112</v>
      </c>
      <c r="H213" s="27" t="s">
        <v>74</v>
      </c>
      <c r="I213" s="30">
        <v>4</v>
      </c>
      <c r="J213" s="31">
        <v>2020</v>
      </c>
      <c r="K213" s="31">
        <v>1565</v>
      </c>
      <c r="L213" s="32">
        <f t="shared" si="16"/>
        <v>8080</v>
      </c>
      <c r="M213" s="32">
        <f t="shared" si="17"/>
        <v>6260</v>
      </c>
      <c r="N213" s="32">
        <f t="shared" si="18"/>
        <v>1820</v>
      </c>
      <c r="O213" s="33">
        <f t="shared" si="19"/>
        <v>0.22524752475247525</v>
      </c>
    </row>
    <row r="214" spans="1:15" x14ac:dyDescent="0.3">
      <c r="A214" s="27" t="s">
        <v>443</v>
      </c>
      <c r="B214" s="28" t="s">
        <v>444</v>
      </c>
      <c r="C214" s="29" t="str">
        <f t="shared" si="15"/>
        <v>Jun-26</v>
      </c>
      <c r="D214" s="27" t="s">
        <v>77</v>
      </c>
      <c r="E214" s="27" t="s">
        <v>78</v>
      </c>
      <c r="F214" s="27" t="s">
        <v>72</v>
      </c>
      <c r="G214" s="27" t="s">
        <v>112</v>
      </c>
      <c r="H214" s="27" t="s">
        <v>74</v>
      </c>
      <c r="I214" s="30">
        <v>3</v>
      </c>
      <c r="J214" s="31">
        <v>1910</v>
      </c>
      <c r="K214" s="31">
        <v>1134</v>
      </c>
      <c r="L214" s="32">
        <f t="shared" si="16"/>
        <v>5730</v>
      </c>
      <c r="M214" s="32">
        <f t="shared" si="17"/>
        <v>3402</v>
      </c>
      <c r="N214" s="32">
        <f t="shared" si="18"/>
        <v>2328</v>
      </c>
      <c r="O214" s="33">
        <f t="shared" si="19"/>
        <v>0.406282722513089</v>
      </c>
    </row>
    <row r="215" spans="1:15" x14ac:dyDescent="0.3">
      <c r="A215" s="27" t="s">
        <v>445</v>
      </c>
      <c r="B215" s="28" t="s">
        <v>444</v>
      </c>
      <c r="C215" s="29" t="str">
        <f t="shared" si="15"/>
        <v>Jun-26</v>
      </c>
      <c r="D215" s="27" t="s">
        <v>110</v>
      </c>
      <c r="E215" s="27" t="s">
        <v>111</v>
      </c>
      <c r="F215" s="27" t="s">
        <v>102</v>
      </c>
      <c r="G215" s="27" t="s">
        <v>106</v>
      </c>
      <c r="H215" s="27" t="s">
        <v>107</v>
      </c>
      <c r="I215" s="30">
        <v>1</v>
      </c>
      <c r="J215" s="31">
        <v>769</v>
      </c>
      <c r="K215" s="31">
        <v>561</v>
      </c>
      <c r="L215" s="32">
        <f t="shared" si="16"/>
        <v>769</v>
      </c>
      <c r="M215" s="32">
        <f t="shared" si="17"/>
        <v>561</v>
      </c>
      <c r="N215" s="32">
        <f t="shared" si="18"/>
        <v>208</v>
      </c>
      <c r="O215" s="33">
        <f t="shared" si="19"/>
        <v>0.270481144343303</v>
      </c>
    </row>
    <row r="216" spans="1:15" x14ac:dyDescent="0.3">
      <c r="A216" s="27" t="s">
        <v>446</v>
      </c>
      <c r="B216" s="28" t="s">
        <v>447</v>
      </c>
      <c r="C216" s="29" t="str">
        <f t="shared" si="15"/>
        <v>Jun-26</v>
      </c>
      <c r="D216" s="27" t="s">
        <v>70</v>
      </c>
      <c r="E216" s="27" t="s">
        <v>105</v>
      </c>
      <c r="F216" s="27" t="s">
        <v>72</v>
      </c>
      <c r="G216" s="27" t="s">
        <v>73</v>
      </c>
      <c r="H216" s="27" t="s">
        <v>107</v>
      </c>
      <c r="I216" s="30">
        <v>5</v>
      </c>
      <c r="J216" s="31">
        <v>971</v>
      </c>
      <c r="K216" s="31">
        <v>584</v>
      </c>
      <c r="L216" s="32">
        <f t="shared" si="16"/>
        <v>4855</v>
      </c>
      <c r="M216" s="32">
        <f t="shared" si="17"/>
        <v>2920</v>
      </c>
      <c r="N216" s="32">
        <f t="shared" si="18"/>
        <v>1935</v>
      </c>
      <c r="O216" s="33">
        <f t="shared" si="19"/>
        <v>0.39855818743563337</v>
      </c>
    </row>
    <row r="217" spans="1:15" x14ac:dyDescent="0.3">
      <c r="A217" s="27" t="s">
        <v>448</v>
      </c>
      <c r="B217" s="28" t="s">
        <v>449</v>
      </c>
      <c r="C217" s="29" t="str">
        <f t="shared" si="15"/>
        <v>Jun-26</v>
      </c>
      <c r="D217" s="27" t="s">
        <v>110</v>
      </c>
      <c r="E217" s="27" t="s">
        <v>111</v>
      </c>
      <c r="F217" s="27" t="s">
        <v>102</v>
      </c>
      <c r="G217" s="27" t="s">
        <v>230</v>
      </c>
      <c r="H217" s="27" t="s">
        <v>74</v>
      </c>
      <c r="I217" s="30">
        <v>5</v>
      </c>
      <c r="J217" s="31">
        <v>2650</v>
      </c>
      <c r="K217" s="31">
        <v>1629</v>
      </c>
      <c r="L217" s="32">
        <f t="shared" si="16"/>
        <v>13250</v>
      </c>
      <c r="M217" s="32">
        <f t="shared" si="17"/>
        <v>8145</v>
      </c>
      <c r="N217" s="32">
        <f t="shared" si="18"/>
        <v>5105</v>
      </c>
      <c r="O217" s="33">
        <f t="shared" si="19"/>
        <v>0.38528301886792454</v>
      </c>
    </row>
    <row r="218" spans="1:15" x14ac:dyDescent="0.3">
      <c r="A218" s="27" t="s">
        <v>450</v>
      </c>
      <c r="B218" s="28" t="s">
        <v>451</v>
      </c>
      <c r="C218" s="29" t="str">
        <f t="shared" si="15"/>
        <v>Jun-26</v>
      </c>
      <c r="D218" s="27" t="s">
        <v>110</v>
      </c>
      <c r="E218" s="27" t="s">
        <v>131</v>
      </c>
      <c r="F218" s="27" t="s">
        <v>72</v>
      </c>
      <c r="G218" s="27" t="s">
        <v>73</v>
      </c>
      <c r="H218" s="27" t="s">
        <v>107</v>
      </c>
      <c r="I218" s="30">
        <v>3</v>
      </c>
      <c r="J218" s="31">
        <v>879</v>
      </c>
      <c r="K218" s="31">
        <v>528</v>
      </c>
      <c r="L218" s="32">
        <f t="shared" si="16"/>
        <v>2637</v>
      </c>
      <c r="M218" s="32">
        <f t="shared" si="17"/>
        <v>1584</v>
      </c>
      <c r="N218" s="32">
        <f t="shared" si="18"/>
        <v>1053</v>
      </c>
      <c r="O218" s="33">
        <f t="shared" si="19"/>
        <v>0.39931740614334471</v>
      </c>
    </row>
    <row r="219" spans="1:15" x14ac:dyDescent="0.3">
      <c r="A219" s="27" t="s">
        <v>452</v>
      </c>
      <c r="B219" s="28" t="s">
        <v>453</v>
      </c>
      <c r="C219" s="29" t="str">
        <f t="shared" si="15"/>
        <v>Jun-26</v>
      </c>
      <c r="D219" s="27" t="s">
        <v>77</v>
      </c>
      <c r="E219" s="27" t="s">
        <v>78</v>
      </c>
      <c r="F219" s="27" t="s">
        <v>97</v>
      </c>
      <c r="G219" s="27" t="s">
        <v>98</v>
      </c>
      <c r="H219" s="27" t="s">
        <v>107</v>
      </c>
      <c r="I219" s="30">
        <v>4</v>
      </c>
      <c r="J219" s="31">
        <v>2130</v>
      </c>
      <c r="K219" s="31">
        <v>1380</v>
      </c>
      <c r="L219" s="32">
        <f t="shared" si="16"/>
        <v>8520</v>
      </c>
      <c r="M219" s="32">
        <f t="shared" si="17"/>
        <v>5520</v>
      </c>
      <c r="N219" s="32">
        <f t="shared" si="18"/>
        <v>3000</v>
      </c>
      <c r="O219" s="33">
        <f t="shared" si="19"/>
        <v>0.352112676056338</v>
      </c>
    </row>
    <row r="220" spans="1:15" x14ac:dyDescent="0.3">
      <c r="A220" s="27" t="s">
        <v>454</v>
      </c>
      <c r="B220" s="28" t="s">
        <v>455</v>
      </c>
      <c r="C220" s="29" t="str">
        <f t="shared" si="15"/>
        <v>Jun-26</v>
      </c>
      <c r="D220" s="27" t="s">
        <v>70</v>
      </c>
      <c r="E220" s="27" t="s">
        <v>71</v>
      </c>
      <c r="F220" s="27" t="s">
        <v>85</v>
      </c>
      <c r="G220" s="27" t="s">
        <v>94</v>
      </c>
      <c r="H220" s="27" t="s">
        <v>81</v>
      </c>
      <c r="I220" s="30">
        <v>1</v>
      </c>
      <c r="J220" s="31">
        <v>1390</v>
      </c>
      <c r="K220" s="31">
        <v>1067</v>
      </c>
      <c r="L220" s="32">
        <f t="shared" si="16"/>
        <v>1390</v>
      </c>
      <c r="M220" s="32">
        <f t="shared" si="17"/>
        <v>1067</v>
      </c>
      <c r="N220" s="32">
        <f t="shared" si="18"/>
        <v>323</v>
      </c>
      <c r="O220" s="33">
        <f t="shared" si="19"/>
        <v>0.23237410071942446</v>
      </c>
    </row>
    <row r="221" spans="1:15" x14ac:dyDescent="0.3">
      <c r="A221" s="27" t="s">
        <v>456</v>
      </c>
      <c r="B221" s="28" t="s">
        <v>455</v>
      </c>
      <c r="C221" s="29" t="str">
        <f t="shared" si="15"/>
        <v>Jun-26</v>
      </c>
      <c r="D221" s="27" t="s">
        <v>110</v>
      </c>
      <c r="E221" s="27" t="s">
        <v>131</v>
      </c>
      <c r="F221" s="27" t="s">
        <v>85</v>
      </c>
      <c r="G221" s="27" t="s">
        <v>117</v>
      </c>
      <c r="H221" s="27" t="s">
        <v>81</v>
      </c>
      <c r="I221" s="30">
        <v>1</v>
      </c>
      <c r="J221" s="31">
        <v>1920</v>
      </c>
      <c r="K221" s="31">
        <v>1212</v>
      </c>
      <c r="L221" s="32">
        <f t="shared" si="16"/>
        <v>1920</v>
      </c>
      <c r="M221" s="32">
        <f t="shared" si="17"/>
        <v>1212</v>
      </c>
      <c r="N221" s="32">
        <f t="shared" si="18"/>
        <v>708</v>
      </c>
      <c r="O221" s="33">
        <f t="shared" si="19"/>
        <v>0.36875000000000002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showGridLines="0" zoomScaleNormal="100" workbookViewId="0"/>
  </sheetViews>
  <sheetFormatPr defaultColWidth="8.6640625" defaultRowHeight="14.4" x14ac:dyDescent="0.3"/>
  <cols>
    <col min="1" max="1" width="12" customWidth="1"/>
    <col min="2" max="4" width="16" customWidth="1"/>
    <col min="5" max="6" width="10" customWidth="1"/>
    <col min="7" max="7" width="18" customWidth="1"/>
  </cols>
  <sheetData>
    <row r="1" spans="1:7" ht="30" customHeight="1" x14ac:dyDescent="0.3">
      <c r="A1" s="3" t="s">
        <v>457</v>
      </c>
      <c r="B1" s="3"/>
      <c r="C1" s="3"/>
      <c r="D1" s="3"/>
      <c r="E1" s="3"/>
      <c r="F1" s="3"/>
      <c r="G1" s="3"/>
    </row>
    <row r="2" spans="1:7" x14ac:dyDescent="0.3">
      <c r="A2" s="3"/>
      <c r="B2" s="3"/>
      <c r="C2" s="3"/>
      <c r="D2" s="3"/>
      <c r="E2" s="3"/>
      <c r="F2" s="3"/>
      <c r="G2" s="3"/>
    </row>
    <row r="4" spans="1:7" ht="25.5" customHeight="1" x14ac:dyDescent="0.3">
      <c r="A4" s="16" t="s">
        <v>55</v>
      </c>
      <c r="B4" s="16" t="s">
        <v>64</v>
      </c>
      <c r="C4" s="16" t="s">
        <v>65</v>
      </c>
      <c r="D4" s="16" t="s">
        <v>66</v>
      </c>
      <c r="E4" s="16" t="s">
        <v>67</v>
      </c>
      <c r="F4" s="16" t="s">
        <v>458</v>
      </c>
      <c r="G4" s="16" t="s">
        <v>459</v>
      </c>
    </row>
    <row r="5" spans="1:7" x14ac:dyDescent="0.3">
      <c r="A5" s="34" t="s">
        <v>460</v>
      </c>
      <c r="B5" s="35">
        <f>SUMIF(Sales_Data!$C$2:$C$221,$A5,Sales_Data!$L$2:$L$221)</f>
        <v>918413</v>
      </c>
      <c r="C5" s="35">
        <f>SUMIF(Sales_Data!$C$2:$C$221,$A5,Sales_Data!$M$2:$M$221)</f>
        <v>616128</v>
      </c>
      <c r="D5" s="36">
        <f t="shared" ref="D5:D10" si="0">B5-C5</f>
        <v>302285</v>
      </c>
      <c r="E5" s="37">
        <f t="shared" ref="E5:E11" si="1">IFERROR(D5/B5,0)</f>
        <v>0.32913841594141197</v>
      </c>
      <c r="F5" s="38">
        <f>COUNTIF(Sales_Data!$C$2:$C$221,$A5)</f>
        <v>43</v>
      </c>
      <c r="G5" s="36">
        <f t="shared" ref="G5:G11" si="2">IFERROR(B5/F5,0)</f>
        <v>21358.441860465115</v>
      </c>
    </row>
    <row r="6" spans="1:7" x14ac:dyDescent="0.3">
      <c r="A6" s="39" t="s">
        <v>461</v>
      </c>
      <c r="B6" s="40">
        <f>SUMIF(Sales_Data!$C$2:$C$221,$A6,Sales_Data!$L$2:$L$221)</f>
        <v>546647</v>
      </c>
      <c r="C6" s="40">
        <f>SUMIF(Sales_Data!$C$2:$C$221,$A6,Sales_Data!$M$2:$M$221)</f>
        <v>380044</v>
      </c>
      <c r="D6" s="32">
        <f t="shared" si="0"/>
        <v>166603</v>
      </c>
      <c r="E6" s="33">
        <f t="shared" si="1"/>
        <v>0.30477254974416762</v>
      </c>
      <c r="F6" s="41">
        <f>COUNTIF(Sales_Data!$C$2:$C$221,$A6)</f>
        <v>24</v>
      </c>
      <c r="G6" s="32">
        <f t="shared" si="2"/>
        <v>22776.958333333332</v>
      </c>
    </row>
    <row r="7" spans="1:7" x14ac:dyDescent="0.3">
      <c r="A7" s="34" t="s">
        <v>462</v>
      </c>
      <c r="B7" s="35">
        <f>SUMIF(Sales_Data!$C$2:$C$221,$A7,Sales_Data!$L$2:$L$221)</f>
        <v>857484</v>
      </c>
      <c r="C7" s="35">
        <f>SUMIF(Sales_Data!$C$2:$C$221,$A7,Sales_Data!$M$2:$M$221)</f>
        <v>575586</v>
      </c>
      <c r="D7" s="36">
        <f t="shared" si="0"/>
        <v>281898</v>
      </c>
      <c r="E7" s="37">
        <f t="shared" si="1"/>
        <v>0.32875015743733993</v>
      </c>
      <c r="F7" s="38">
        <f>COUNTIF(Sales_Data!$C$2:$C$221,$A7)</f>
        <v>45</v>
      </c>
      <c r="G7" s="36">
        <f t="shared" si="2"/>
        <v>19055.2</v>
      </c>
    </row>
    <row r="8" spans="1:7" x14ac:dyDescent="0.3">
      <c r="A8" s="39" t="s">
        <v>463</v>
      </c>
      <c r="B8" s="40">
        <f>SUMIF(Sales_Data!$C$2:$C$221,$A8,Sales_Data!$L$2:$L$221)</f>
        <v>596093</v>
      </c>
      <c r="C8" s="40">
        <f>SUMIF(Sales_Data!$C$2:$C$221,$A8,Sales_Data!$M$2:$M$221)</f>
        <v>406704</v>
      </c>
      <c r="D8" s="32">
        <f t="shared" si="0"/>
        <v>189389</v>
      </c>
      <c r="E8" s="33">
        <f t="shared" si="1"/>
        <v>0.31771720184602065</v>
      </c>
      <c r="F8" s="41">
        <f>COUNTIF(Sales_Data!$C$2:$C$221,$A8)</f>
        <v>36</v>
      </c>
      <c r="G8" s="32">
        <f t="shared" si="2"/>
        <v>16558.138888888891</v>
      </c>
    </row>
    <row r="9" spans="1:7" x14ac:dyDescent="0.3">
      <c r="A9" s="34" t="s">
        <v>464</v>
      </c>
      <c r="B9" s="35">
        <f>SUMIF(Sales_Data!$C$2:$C$221,$A9,Sales_Data!$L$2:$L$221)</f>
        <v>849525</v>
      </c>
      <c r="C9" s="35">
        <f>SUMIF(Sales_Data!$C$2:$C$221,$A9,Sales_Data!$M$2:$M$221)</f>
        <v>616019</v>
      </c>
      <c r="D9" s="36">
        <f t="shared" si="0"/>
        <v>233506</v>
      </c>
      <c r="E9" s="37">
        <f t="shared" si="1"/>
        <v>0.27486654306818514</v>
      </c>
      <c r="F9" s="38">
        <f>COUNTIF(Sales_Data!$C$2:$C$221,$A9)</f>
        <v>33</v>
      </c>
      <c r="G9" s="36">
        <f t="shared" si="2"/>
        <v>25743.18181818182</v>
      </c>
    </row>
    <row r="10" spans="1:7" x14ac:dyDescent="0.3">
      <c r="A10" s="39" t="s">
        <v>465</v>
      </c>
      <c r="B10" s="40">
        <f>SUMIF(Sales_Data!$C$2:$C$221,$A10,Sales_Data!$L$2:$L$221)</f>
        <v>860824</v>
      </c>
      <c r="C10" s="40">
        <f>SUMIF(Sales_Data!$C$2:$C$221,$A10,Sales_Data!$M$2:$M$221)</f>
        <v>555227</v>
      </c>
      <c r="D10" s="32">
        <f t="shared" si="0"/>
        <v>305597</v>
      </c>
      <c r="E10" s="33">
        <f t="shared" si="1"/>
        <v>0.3550052043158648</v>
      </c>
      <c r="F10" s="41">
        <f>COUNTIF(Sales_Data!$C$2:$C$221,$A10)</f>
        <v>39</v>
      </c>
      <c r="G10" s="32">
        <f t="shared" si="2"/>
        <v>22072.410256410258</v>
      </c>
    </row>
    <row r="11" spans="1:7" x14ac:dyDescent="0.3">
      <c r="A11" s="42" t="s">
        <v>466</v>
      </c>
      <c r="B11" s="43">
        <f>SUM(B5:B10)</f>
        <v>4628986</v>
      </c>
      <c r="C11" s="43">
        <f>SUM(C5:C10)</f>
        <v>3149708</v>
      </c>
      <c r="D11" s="43">
        <f>SUM(D5:D10)</f>
        <v>1479278</v>
      </c>
      <c r="E11" s="44">
        <f t="shared" si="1"/>
        <v>0.31956847568776403</v>
      </c>
      <c r="F11" s="45">
        <f>SUM(F5:F10)</f>
        <v>220</v>
      </c>
      <c r="G11" s="43">
        <f t="shared" si="2"/>
        <v>21040.845454545455</v>
      </c>
    </row>
  </sheetData>
  <mergeCells count="1">
    <mergeCell ref="A1:G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showGridLines="0" zoomScaleNormal="100" workbookViewId="0"/>
  </sheetViews>
  <sheetFormatPr defaultColWidth="8.6640625" defaultRowHeight="14.4" x14ac:dyDescent="0.3"/>
  <cols>
    <col min="1" max="1" width="14" customWidth="1"/>
    <col min="2" max="3" width="16" customWidth="1"/>
    <col min="4" max="5" width="10" customWidth="1"/>
    <col min="6" max="6" width="16" customWidth="1"/>
  </cols>
  <sheetData>
    <row r="1" spans="1:6" ht="30" customHeight="1" x14ac:dyDescent="0.3">
      <c r="A1" s="3" t="s">
        <v>467</v>
      </c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4" spans="1:6" ht="25.5" customHeight="1" x14ac:dyDescent="0.3">
      <c r="A4" s="16" t="s">
        <v>56</v>
      </c>
      <c r="B4" s="16" t="s">
        <v>64</v>
      </c>
      <c r="C4" s="16" t="s">
        <v>66</v>
      </c>
      <c r="D4" s="16" t="s">
        <v>67</v>
      </c>
      <c r="E4" s="16" t="s">
        <v>458</v>
      </c>
      <c r="F4" s="16" t="s">
        <v>468</v>
      </c>
    </row>
    <row r="5" spans="1:6" x14ac:dyDescent="0.3">
      <c r="A5" s="34" t="s">
        <v>70</v>
      </c>
      <c r="B5" s="35">
        <f>SUMIF(Sales_Data!$D$2:$D$221,$A5,Sales_Data!$L$2:$L$221)</f>
        <v>1082994</v>
      </c>
      <c r="C5" s="35">
        <f>SUMIF(Sales_Data!$D$2:$D$221,$A5,Sales_Data!$N$2:$N$221)</f>
        <v>348103</v>
      </c>
      <c r="D5" s="37">
        <f>IFERROR(C5/B5,0)</f>
        <v>0.32142652683209694</v>
      </c>
      <c r="E5" s="38">
        <f>COUNTIF(Sales_Data!$D$2:$D$221,$A5)</f>
        <v>53</v>
      </c>
      <c r="F5" s="37">
        <f>IFERROR(B5/SUM($B$5:$B$8),0)</f>
        <v>0.23395922994798429</v>
      </c>
    </row>
    <row r="6" spans="1:6" x14ac:dyDescent="0.3">
      <c r="A6" s="39" t="s">
        <v>77</v>
      </c>
      <c r="B6" s="40">
        <f>SUMIF(Sales_Data!$D$2:$D$221,$A6,Sales_Data!$L$2:$L$221)</f>
        <v>1310998</v>
      </c>
      <c r="C6" s="40">
        <f>SUMIF(Sales_Data!$D$2:$D$221,$A6,Sales_Data!$N$2:$N$221)</f>
        <v>428838</v>
      </c>
      <c r="D6" s="33">
        <f>IFERROR(C6/B6,0)</f>
        <v>0.32710805050808622</v>
      </c>
      <c r="E6" s="41">
        <f>COUNTIF(Sales_Data!$D$2:$D$221,$A6)</f>
        <v>54</v>
      </c>
      <c r="F6" s="33">
        <f>IFERROR(B6/SUM($B$5:$B$8),0)</f>
        <v>0.28321494167405131</v>
      </c>
    </row>
    <row r="7" spans="1:6" x14ac:dyDescent="0.3">
      <c r="A7" s="34" t="s">
        <v>83</v>
      </c>
      <c r="B7" s="35">
        <f>SUMIF(Sales_Data!$D$2:$D$221,$A7,Sales_Data!$L$2:$L$221)</f>
        <v>1065360</v>
      </c>
      <c r="C7" s="35">
        <f>SUMIF(Sales_Data!$D$2:$D$221,$A7,Sales_Data!$N$2:$N$221)</f>
        <v>340873</v>
      </c>
      <c r="D7" s="37">
        <f>IFERROR(C7/B7,0)</f>
        <v>0.3199603889764962</v>
      </c>
      <c r="E7" s="38">
        <f>COUNTIF(Sales_Data!$D$2:$D$221,$A7)</f>
        <v>57</v>
      </c>
      <c r="F7" s="37">
        <f>IFERROR(B7/SUM($B$5:$B$8),0)</f>
        <v>0.23014975633972537</v>
      </c>
    </row>
    <row r="8" spans="1:6" x14ac:dyDescent="0.3">
      <c r="A8" s="39" t="s">
        <v>110</v>
      </c>
      <c r="B8" s="40">
        <f>SUMIF(Sales_Data!$D$2:$D$221,$A8,Sales_Data!$L$2:$L$221)</f>
        <v>1169634</v>
      </c>
      <c r="C8" s="40">
        <f>SUMIF(Sales_Data!$D$2:$D$221,$A8,Sales_Data!$N$2:$N$221)</f>
        <v>361464</v>
      </c>
      <c r="D8" s="33">
        <f>IFERROR(C8/B8,0)</f>
        <v>0.30904026387741806</v>
      </c>
      <c r="E8" s="41">
        <f>COUNTIF(Sales_Data!$D$2:$D$221,$A8)</f>
        <v>56</v>
      </c>
      <c r="F8" s="33">
        <f>IFERROR(B8/SUM($B$5:$B$8),0)</f>
        <v>0.25267607203823905</v>
      </c>
    </row>
  </sheetData>
  <mergeCells count="1">
    <mergeCell ref="A1:F2"/>
  </mergeCells>
  <conditionalFormatting sqref="F5:F8">
    <cfRule type="dataBar" priority="2">
      <dataBar>
        <cfvo type="num" val="0"/>
        <cfvo type="num" val="1"/>
        <color rgb="FF1E2761"/>
      </dataBar>
      <extLst>
        <ext xmlns:x14="http://schemas.microsoft.com/office/spreadsheetml/2009/9/main" uri="{B025F937-C7B1-47D3-B67F-A62EFF666E3E}">
          <x14:id>{EC65D085-4A9A-482A-B44B-F3FAA67E11F0}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65D085-4A9A-482A-B44B-F3FAA67E11F0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1E2761"/>
            </x14:dataBar>
          </x14:cfRule>
          <xm:sqref>F5:F8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showGridLines="0" zoomScaleNormal="100" workbookViewId="0"/>
  </sheetViews>
  <sheetFormatPr defaultColWidth="8.6640625" defaultRowHeight="14.4" x14ac:dyDescent="0.3"/>
  <cols>
    <col min="1" max="1" width="18" customWidth="1"/>
    <col min="2" max="3" width="16" customWidth="1"/>
    <col min="4" max="4" width="10" customWidth="1"/>
    <col min="5" max="5" width="12" customWidth="1"/>
    <col min="6" max="6" width="10" customWidth="1"/>
  </cols>
  <sheetData>
    <row r="1" spans="1:6" ht="30" customHeight="1" x14ac:dyDescent="0.3">
      <c r="A1" s="3" t="s">
        <v>469</v>
      </c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4" spans="1:6" ht="25.5" customHeight="1" x14ac:dyDescent="0.3">
      <c r="A4" s="16" t="s">
        <v>58</v>
      </c>
      <c r="B4" s="16" t="s">
        <v>64</v>
      </c>
      <c r="C4" s="16" t="s">
        <v>66</v>
      </c>
      <c r="D4" s="16" t="s">
        <v>67</v>
      </c>
      <c r="E4" s="16" t="s">
        <v>61</v>
      </c>
      <c r="F4" s="16" t="s">
        <v>458</v>
      </c>
    </row>
    <row r="5" spans="1:6" x14ac:dyDescent="0.3">
      <c r="A5" s="34" t="s">
        <v>85</v>
      </c>
      <c r="B5" s="35">
        <f>SUMIF(Sales_Data!$F$2:$F$221,$A5,Sales_Data!$L$2:$L$221)</f>
        <v>184482</v>
      </c>
      <c r="C5" s="35">
        <f>SUMIF(Sales_Data!$F$2:$F$221,$A5,Sales_Data!$N$2:$N$221)</f>
        <v>59078</v>
      </c>
      <c r="D5" s="37">
        <f>IFERROR(C5/B5,0)</f>
        <v>0.32023720471373901</v>
      </c>
      <c r="E5" s="38">
        <f>SUMIF(Sales_Data!$F$2:$F$221,$A5,Sales_Data!$I$2:$I$221)</f>
        <v>170</v>
      </c>
      <c r="F5" s="38">
        <f>COUNTIF(Sales_Data!$F$2:$F$221,$A5)</f>
        <v>48</v>
      </c>
    </row>
    <row r="6" spans="1:6" x14ac:dyDescent="0.3">
      <c r="A6" s="39" t="s">
        <v>102</v>
      </c>
      <c r="B6" s="40">
        <f>SUMIF(Sales_Data!$F$2:$F$221,$A6,Sales_Data!$L$2:$L$221)</f>
        <v>326195</v>
      </c>
      <c r="C6" s="40">
        <f>SUMIF(Sales_Data!$F$2:$F$221,$A6,Sales_Data!$N$2:$N$221)</f>
        <v>102665</v>
      </c>
      <c r="D6" s="33">
        <f>IFERROR(C6/B6,0)</f>
        <v>0.31473505111972899</v>
      </c>
      <c r="E6" s="41">
        <f>SUMIF(Sales_Data!$F$2:$F$221,$A6,Sales_Data!$I$2:$I$221)</f>
        <v>201</v>
      </c>
      <c r="F6" s="41">
        <f>COUNTIF(Sales_Data!$F$2:$F$221,$A6)</f>
        <v>44</v>
      </c>
    </row>
    <row r="7" spans="1:6" x14ac:dyDescent="0.3">
      <c r="A7" s="34" t="s">
        <v>79</v>
      </c>
      <c r="B7" s="35">
        <f>SUMIF(Sales_Data!$F$2:$F$221,$A7,Sales_Data!$L$2:$L$221)</f>
        <v>1090280</v>
      </c>
      <c r="C7" s="35">
        <f>SUMIF(Sales_Data!$F$2:$F$221,$A7,Sales_Data!$N$2:$N$221)</f>
        <v>367157</v>
      </c>
      <c r="D7" s="37">
        <f>IFERROR(C7/B7,0)</f>
        <v>0.33675477858898634</v>
      </c>
      <c r="E7" s="38">
        <f>SUMIF(Sales_Data!$F$2:$F$221,$A7,Sales_Data!$I$2:$I$221)</f>
        <v>110</v>
      </c>
      <c r="F7" s="38">
        <f>COUNTIF(Sales_Data!$F$2:$F$221,$A7)</f>
        <v>31</v>
      </c>
    </row>
    <row r="8" spans="1:6" x14ac:dyDescent="0.3">
      <c r="A8" s="39" t="s">
        <v>72</v>
      </c>
      <c r="B8" s="40">
        <f>SUMIF(Sales_Data!$F$2:$F$221,$A8,Sales_Data!$L$2:$L$221)</f>
        <v>198149</v>
      </c>
      <c r="C8" s="40">
        <f>SUMIF(Sales_Data!$F$2:$F$221,$A8,Sales_Data!$N$2:$N$221)</f>
        <v>65606</v>
      </c>
      <c r="D8" s="33">
        <f>IFERROR(C8/B8,0)</f>
        <v>0.33109427753861992</v>
      </c>
      <c r="E8" s="41">
        <f>SUMIF(Sales_Data!$F$2:$F$221,$A8,Sales_Data!$I$2:$I$221)</f>
        <v>184</v>
      </c>
      <c r="F8" s="41">
        <f>COUNTIF(Sales_Data!$F$2:$F$221,$A8)</f>
        <v>46</v>
      </c>
    </row>
    <row r="9" spans="1:6" x14ac:dyDescent="0.3">
      <c r="A9" s="34" t="s">
        <v>97</v>
      </c>
      <c r="B9" s="35">
        <f>SUMIF(Sales_Data!$F$2:$F$221,$A9,Sales_Data!$L$2:$L$221)</f>
        <v>2829880</v>
      </c>
      <c r="C9" s="35">
        <f>SUMIF(Sales_Data!$F$2:$F$221,$A9,Sales_Data!$N$2:$N$221)</f>
        <v>884772</v>
      </c>
      <c r="D9" s="37">
        <f>IFERROR(C9/B9,0)</f>
        <v>0.31265354007943802</v>
      </c>
      <c r="E9" s="38">
        <f>SUMIF(Sales_Data!$F$2:$F$221,$A9,Sales_Data!$I$2:$I$221)</f>
        <v>189</v>
      </c>
      <c r="F9" s="38">
        <f>COUNTIF(Sales_Data!$F$2:$F$221,$A9)</f>
        <v>51</v>
      </c>
    </row>
  </sheetData>
  <mergeCells count="1">
    <mergeCell ref="A1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showGridLines="0" zoomScaleNormal="100" workbookViewId="0"/>
  </sheetViews>
  <sheetFormatPr defaultColWidth="8.6640625" defaultRowHeight="14.4" x14ac:dyDescent="0.3"/>
  <cols>
    <col min="1" max="1" width="18" customWidth="1"/>
    <col min="2" max="2" width="12" customWidth="1"/>
    <col min="3" max="4" width="16" customWidth="1"/>
    <col min="5" max="5" width="10" customWidth="1"/>
    <col min="6" max="6" width="16" customWidth="1"/>
    <col min="7" max="7" width="8" customWidth="1"/>
  </cols>
  <sheetData>
    <row r="1" spans="1:7" ht="30" customHeight="1" x14ac:dyDescent="0.3">
      <c r="A1" s="3" t="s">
        <v>470</v>
      </c>
      <c r="B1" s="3"/>
      <c r="C1" s="3"/>
      <c r="D1" s="3"/>
      <c r="E1" s="3"/>
      <c r="F1" s="3"/>
      <c r="G1" s="3"/>
    </row>
    <row r="2" spans="1:7" x14ac:dyDescent="0.3">
      <c r="A2" s="3"/>
      <c r="B2" s="3"/>
      <c r="C2" s="3"/>
      <c r="D2" s="3"/>
      <c r="E2" s="3"/>
      <c r="F2" s="3"/>
      <c r="G2" s="3"/>
    </row>
    <row r="4" spans="1:7" ht="25.5" customHeight="1" x14ac:dyDescent="0.3">
      <c r="A4" s="16" t="s">
        <v>57</v>
      </c>
      <c r="B4" s="16" t="s">
        <v>56</v>
      </c>
      <c r="C4" s="16" t="s">
        <v>64</v>
      </c>
      <c r="D4" s="16" t="s">
        <v>66</v>
      </c>
      <c r="E4" s="16" t="s">
        <v>458</v>
      </c>
      <c r="F4" s="16" t="s">
        <v>471</v>
      </c>
      <c r="G4" s="16" t="s">
        <v>472</v>
      </c>
    </row>
    <row r="5" spans="1:7" x14ac:dyDescent="0.3">
      <c r="A5" s="34" t="s">
        <v>78</v>
      </c>
      <c r="B5" s="22" t="s">
        <v>77</v>
      </c>
      <c r="C5" s="35">
        <f>SUMIF(Sales_Data!$E$2:$E$221,$A5,Sales_Data!$L$2:$L$221)</f>
        <v>689289</v>
      </c>
      <c r="D5" s="35">
        <f>SUMIF(Sales_Data!$E$2:$E$221,$A5,Sales_Data!$N$2:$N$221)</f>
        <v>237557</v>
      </c>
      <c r="E5" s="38">
        <f>COUNTIF(Sales_Data!$E$2:$E$221,$A5)</f>
        <v>29</v>
      </c>
      <c r="F5" s="36">
        <f t="shared" ref="F5:F12" si="0">IFERROR(C5/E5,0)</f>
        <v>23768.586206896551</v>
      </c>
      <c r="G5" s="46">
        <f t="shared" ref="G5:G12" si="1">RANK(C5,$C$5:$C$12)</f>
        <v>2</v>
      </c>
    </row>
    <row r="6" spans="1:7" x14ac:dyDescent="0.3">
      <c r="A6" s="39" t="s">
        <v>105</v>
      </c>
      <c r="B6" s="19" t="s">
        <v>70</v>
      </c>
      <c r="C6" s="40">
        <f>SUMIF(Sales_Data!$E$2:$E$221,$A6,Sales_Data!$L$2:$L$221)</f>
        <v>450232</v>
      </c>
      <c r="D6" s="40">
        <f>SUMIF(Sales_Data!$E$2:$E$221,$A6,Sales_Data!$N$2:$N$221)</f>
        <v>142373</v>
      </c>
      <c r="E6" s="41">
        <f>COUNTIF(Sales_Data!$E$2:$E$221,$A6)</f>
        <v>26</v>
      </c>
      <c r="F6" s="32">
        <f t="shared" si="0"/>
        <v>17316.615384615383</v>
      </c>
      <c r="G6" s="47">
        <f t="shared" si="1"/>
        <v>7</v>
      </c>
    </row>
    <row r="7" spans="1:7" x14ac:dyDescent="0.3">
      <c r="A7" s="34" t="s">
        <v>101</v>
      </c>
      <c r="B7" s="22" t="s">
        <v>83</v>
      </c>
      <c r="C7" s="35">
        <f>SUMIF(Sales_Data!$E$2:$E$221,$A7,Sales_Data!$L$2:$L$221)</f>
        <v>559756</v>
      </c>
      <c r="D7" s="35">
        <f>SUMIF(Sales_Data!$E$2:$E$221,$A7,Sales_Data!$N$2:$N$221)</f>
        <v>161543</v>
      </c>
      <c r="E7" s="38">
        <f>COUNTIF(Sales_Data!$E$2:$E$221,$A7)</f>
        <v>29</v>
      </c>
      <c r="F7" s="36">
        <f t="shared" si="0"/>
        <v>19301.931034482757</v>
      </c>
      <c r="G7" s="46">
        <f t="shared" si="1"/>
        <v>5</v>
      </c>
    </row>
    <row r="8" spans="1:7" x14ac:dyDescent="0.3">
      <c r="A8" s="39" t="s">
        <v>84</v>
      </c>
      <c r="B8" s="19" t="s">
        <v>83</v>
      </c>
      <c r="C8" s="40">
        <f>SUMIF(Sales_Data!$E$2:$E$221,$A8,Sales_Data!$L$2:$L$221)</f>
        <v>505604</v>
      </c>
      <c r="D8" s="40">
        <f>SUMIF(Sales_Data!$E$2:$E$221,$A8,Sales_Data!$N$2:$N$221)</f>
        <v>179330</v>
      </c>
      <c r="E8" s="41">
        <f>COUNTIF(Sales_Data!$E$2:$E$221,$A8)</f>
        <v>28</v>
      </c>
      <c r="F8" s="32">
        <f t="shared" si="0"/>
        <v>18057.285714285714</v>
      </c>
      <c r="G8" s="47">
        <f t="shared" si="1"/>
        <v>6</v>
      </c>
    </row>
    <row r="9" spans="1:7" x14ac:dyDescent="0.3">
      <c r="A9" s="34" t="s">
        <v>89</v>
      </c>
      <c r="B9" s="22" t="s">
        <v>77</v>
      </c>
      <c r="C9" s="35">
        <f>SUMIF(Sales_Data!$E$2:$E$221,$A9,Sales_Data!$L$2:$L$221)</f>
        <v>621709</v>
      </c>
      <c r="D9" s="35">
        <f>SUMIF(Sales_Data!$E$2:$E$221,$A9,Sales_Data!$N$2:$N$221)</f>
        <v>191281</v>
      </c>
      <c r="E9" s="38">
        <f>COUNTIF(Sales_Data!$E$2:$E$221,$A9)</f>
        <v>25</v>
      </c>
      <c r="F9" s="36">
        <f t="shared" si="0"/>
        <v>24868.36</v>
      </c>
      <c r="G9" s="46">
        <f t="shared" si="1"/>
        <v>4</v>
      </c>
    </row>
    <row r="10" spans="1:7" x14ac:dyDescent="0.3">
      <c r="A10" s="39" t="s">
        <v>111</v>
      </c>
      <c r="B10" s="19" t="s">
        <v>110</v>
      </c>
      <c r="C10" s="40">
        <f>SUMIF(Sales_Data!$E$2:$E$221,$A10,Sales_Data!$L$2:$L$221)</f>
        <v>858777</v>
      </c>
      <c r="D10" s="40">
        <f>SUMIF(Sales_Data!$E$2:$E$221,$A10,Sales_Data!$N$2:$N$221)</f>
        <v>261471</v>
      </c>
      <c r="E10" s="41">
        <f>COUNTIF(Sales_Data!$E$2:$E$221,$A10)</f>
        <v>32</v>
      </c>
      <c r="F10" s="32">
        <f t="shared" si="0"/>
        <v>26836.78125</v>
      </c>
      <c r="G10" s="47">
        <f t="shared" si="1"/>
        <v>1</v>
      </c>
    </row>
    <row r="11" spans="1:7" x14ac:dyDescent="0.3">
      <c r="A11" s="34" t="s">
        <v>131</v>
      </c>
      <c r="B11" s="22" t="s">
        <v>110</v>
      </c>
      <c r="C11" s="35">
        <f>SUMIF(Sales_Data!$E$2:$E$221,$A11,Sales_Data!$L$2:$L$221)</f>
        <v>310857</v>
      </c>
      <c r="D11" s="35">
        <f>SUMIF(Sales_Data!$E$2:$E$221,$A11,Sales_Data!$N$2:$N$221)</f>
        <v>99993</v>
      </c>
      <c r="E11" s="38">
        <f>COUNTIF(Sales_Data!$E$2:$E$221,$A11)</f>
        <v>24</v>
      </c>
      <c r="F11" s="36">
        <f t="shared" si="0"/>
        <v>12952.375</v>
      </c>
      <c r="G11" s="46">
        <f t="shared" si="1"/>
        <v>8</v>
      </c>
    </row>
    <row r="12" spans="1:7" x14ac:dyDescent="0.3">
      <c r="A12" s="39" t="s">
        <v>71</v>
      </c>
      <c r="B12" s="19" t="s">
        <v>70</v>
      </c>
      <c r="C12" s="40">
        <f>SUMIF(Sales_Data!$E$2:$E$221,$A12,Sales_Data!$L$2:$L$221)</f>
        <v>632762</v>
      </c>
      <c r="D12" s="40">
        <f>SUMIF(Sales_Data!$E$2:$E$221,$A12,Sales_Data!$N$2:$N$221)</f>
        <v>205730</v>
      </c>
      <c r="E12" s="41">
        <f>COUNTIF(Sales_Data!$E$2:$E$221,$A12)</f>
        <v>27</v>
      </c>
      <c r="F12" s="32">
        <f t="shared" si="0"/>
        <v>23435.629629629631</v>
      </c>
      <c r="G12" s="47">
        <f t="shared" si="1"/>
        <v>3</v>
      </c>
    </row>
  </sheetData>
  <mergeCells count="1">
    <mergeCell ref="A1:G2"/>
  </mergeCells>
  <conditionalFormatting sqref="C5:C12">
    <cfRule type="dataBar" priority="2">
      <dataBar>
        <cfvo type="min"/>
        <cfvo type="max"/>
        <color rgb="FF0B8043"/>
      </dataBar>
      <extLst>
        <ext xmlns:x14="http://schemas.microsoft.com/office/spreadsheetml/2009/9/main" uri="{B025F937-C7B1-47D3-B67F-A62EFF666E3E}">
          <x14:id>{B0E9802F-3222-4245-904F-8A5B8A70B0F8}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E9802F-3222-4245-904F-8A5B8A70B0F8}">
            <x14:dataBar axisPosition="none">
              <x14:cfvo type="min"/>
              <x14:cfvo type="max"/>
              <x14:negativeFillColor rgb="FF0B8043"/>
            </x14:dataBar>
          </x14:cfRule>
          <xm:sqref>C5:C12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showGridLines="0" zoomScaleNormal="100" workbookViewId="0"/>
  </sheetViews>
  <sheetFormatPr defaultColWidth="8.6640625" defaultRowHeight="14.4" x14ac:dyDescent="0.3"/>
  <cols>
    <col min="1" max="1" width="12" customWidth="1"/>
    <col min="2" max="3" width="18" customWidth="1"/>
    <col min="4" max="4" width="16" customWidth="1"/>
    <col min="5" max="6" width="14" customWidth="1"/>
  </cols>
  <sheetData>
    <row r="1" spans="1:6" ht="30" customHeight="1" x14ac:dyDescent="0.3">
      <c r="A1" s="3" t="s">
        <v>473</v>
      </c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4" spans="1:6" ht="25.5" customHeight="1" x14ac:dyDescent="0.3">
      <c r="A4" s="16" t="s">
        <v>55</v>
      </c>
      <c r="B4" s="16" t="s">
        <v>474</v>
      </c>
      <c r="C4" s="16" t="s">
        <v>475</v>
      </c>
      <c r="D4" s="16" t="s">
        <v>476</v>
      </c>
      <c r="E4" s="16" t="s">
        <v>477</v>
      </c>
      <c r="F4" s="16" t="s">
        <v>478</v>
      </c>
    </row>
    <row r="5" spans="1:6" x14ac:dyDescent="0.3">
      <c r="A5" s="34" t="s">
        <v>460</v>
      </c>
      <c r="B5" s="48">
        <v>900000</v>
      </c>
      <c r="C5" s="35">
        <f>SUMIF(Sales_Data!$C$2:$C$221,$A5,Sales_Data!$L$2:$L$221)</f>
        <v>918413</v>
      </c>
      <c r="D5" s="36">
        <f t="shared" ref="D5:D11" si="0">C5-B5</f>
        <v>18413</v>
      </c>
      <c r="E5" s="37">
        <f t="shared" ref="E5:E11" si="1">IFERROR(C5/B5,0)</f>
        <v>1.0204588888888888</v>
      </c>
      <c r="F5" s="46" t="str">
        <f t="shared" ref="F5:F10" si="2">IF(E5&gt;=1,"On Target",IF(E5&gt;=0.9,"Near Target","Below Target"))</f>
        <v>On Target</v>
      </c>
    </row>
    <row r="6" spans="1:6" x14ac:dyDescent="0.3">
      <c r="A6" s="39" t="s">
        <v>461</v>
      </c>
      <c r="B6" s="31">
        <v>950000</v>
      </c>
      <c r="C6" s="40">
        <f>SUMIF(Sales_Data!$C$2:$C$221,$A6,Sales_Data!$L$2:$L$221)</f>
        <v>546647</v>
      </c>
      <c r="D6" s="32">
        <f t="shared" si="0"/>
        <v>-403353</v>
      </c>
      <c r="E6" s="33">
        <f t="shared" si="1"/>
        <v>0.57541789473684213</v>
      </c>
      <c r="F6" s="47" t="str">
        <f t="shared" si="2"/>
        <v>Below Target</v>
      </c>
    </row>
    <row r="7" spans="1:6" x14ac:dyDescent="0.3">
      <c r="A7" s="34" t="s">
        <v>462</v>
      </c>
      <c r="B7" s="48">
        <v>1000000</v>
      </c>
      <c r="C7" s="35">
        <f>SUMIF(Sales_Data!$C$2:$C$221,$A7,Sales_Data!$L$2:$L$221)</f>
        <v>857484</v>
      </c>
      <c r="D7" s="36">
        <f t="shared" si="0"/>
        <v>-142516</v>
      </c>
      <c r="E7" s="37">
        <f t="shared" si="1"/>
        <v>0.85748400000000002</v>
      </c>
      <c r="F7" s="46" t="str">
        <f t="shared" si="2"/>
        <v>Below Target</v>
      </c>
    </row>
    <row r="8" spans="1:6" x14ac:dyDescent="0.3">
      <c r="A8" s="39" t="s">
        <v>463</v>
      </c>
      <c r="B8" s="31">
        <v>1050000</v>
      </c>
      <c r="C8" s="40">
        <f>SUMIF(Sales_Data!$C$2:$C$221,$A8,Sales_Data!$L$2:$L$221)</f>
        <v>596093</v>
      </c>
      <c r="D8" s="32">
        <f t="shared" si="0"/>
        <v>-453907</v>
      </c>
      <c r="E8" s="33">
        <f t="shared" si="1"/>
        <v>0.56770761904761902</v>
      </c>
      <c r="F8" s="47" t="str">
        <f t="shared" si="2"/>
        <v>Below Target</v>
      </c>
    </row>
    <row r="9" spans="1:6" x14ac:dyDescent="0.3">
      <c r="A9" s="34" t="s">
        <v>464</v>
      </c>
      <c r="B9" s="48">
        <v>1100000</v>
      </c>
      <c r="C9" s="35">
        <f>SUMIF(Sales_Data!$C$2:$C$221,$A9,Sales_Data!$L$2:$L$221)</f>
        <v>849525</v>
      </c>
      <c r="D9" s="36">
        <f t="shared" si="0"/>
        <v>-250475</v>
      </c>
      <c r="E9" s="37">
        <f t="shared" si="1"/>
        <v>0.77229545454545456</v>
      </c>
      <c r="F9" s="46" t="str">
        <f t="shared" si="2"/>
        <v>Below Target</v>
      </c>
    </row>
    <row r="10" spans="1:6" x14ac:dyDescent="0.3">
      <c r="A10" s="39" t="s">
        <v>465</v>
      </c>
      <c r="B10" s="31">
        <v>1150000</v>
      </c>
      <c r="C10" s="40">
        <f>SUMIF(Sales_Data!$C$2:$C$221,$A10,Sales_Data!$L$2:$L$221)</f>
        <v>860824</v>
      </c>
      <c r="D10" s="32">
        <f t="shared" si="0"/>
        <v>-289176</v>
      </c>
      <c r="E10" s="33">
        <f t="shared" si="1"/>
        <v>0.74854260869565215</v>
      </c>
      <c r="F10" s="47" t="str">
        <f t="shared" si="2"/>
        <v>Below Target</v>
      </c>
    </row>
    <row r="11" spans="1:6" x14ac:dyDescent="0.3">
      <c r="A11" s="42" t="s">
        <v>466</v>
      </c>
      <c r="B11" s="49">
        <f>SUM(B5:B10)</f>
        <v>6150000</v>
      </c>
      <c r="C11" s="49">
        <f>SUM(C5:C10)</f>
        <v>4628986</v>
      </c>
      <c r="D11" s="49">
        <f t="shared" si="0"/>
        <v>-1521014</v>
      </c>
      <c r="E11" s="50">
        <f t="shared" si="1"/>
        <v>0.75268065040650411</v>
      </c>
      <c r="F11" s="51"/>
    </row>
  </sheetData>
  <mergeCells count="1">
    <mergeCell ref="A1:F2"/>
  </mergeCells>
  <conditionalFormatting sqref="D5:D10">
    <cfRule type="cellIs" dxfId="3" priority="2" operator="lessThan">
      <formula>0</formula>
    </cfRule>
    <cfRule type="cellIs" dxfId="2" priority="3" operator="greaterThanOrEqual">
      <formula>0</formula>
    </cfRule>
  </conditionalFormatting>
  <conditionalFormatting sqref="F5:F10">
    <cfRule type="cellIs" dxfId="1" priority="4" operator="equal">
      <formula>"On Target"</formula>
    </cfRule>
    <cfRule type="cellIs" dxfId="0" priority="5" operator="equal">
      <formula>"Below Target"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ReadMe</vt:lpstr>
      <vt:lpstr>Sales_Data</vt:lpstr>
      <vt:lpstr>Monthly_Summary</vt:lpstr>
      <vt:lpstr>Regional_Summary</vt:lpstr>
      <vt:lpstr>Category_Summary</vt:lpstr>
      <vt:lpstr>Rep_Performance</vt:lpstr>
      <vt:lpstr>Targets_vs_Actual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Indraditya Bhattacharyya</cp:lastModifiedBy>
  <cp:revision>1</cp:revision>
  <dcterms:created xsi:type="dcterms:W3CDTF">2026-07-03T06:52:59Z</dcterms:created>
  <dcterms:modified xsi:type="dcterms:W3CDTF">2026-07-03T07:04:10Z</dcterms:modified>
  <dc:language>en-US</dc:language>
</cp:coreProperties>
</file>